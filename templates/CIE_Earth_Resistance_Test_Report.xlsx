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hart1.xml" ContentType="application/vnd.openxmlformats-officedocument.drawingml.chart+xml"/>
  <Override PartName="/xl/charts/colors1.xml" ContentType="application/vnd.ms-office.chartcolorstyle+xml"/>
  <Override PartName="/xl/charts/style3.xml" ContentType="application/vnd.ms-office.chartstyle+xml"/>
  <Override PartName="/xl/charts/chart4.xml" ContentType="application/vnd.openxmlformats-officedocument.drawingml.chart+xml"/>
  <Override PartName="/xl/charts/chart3.xml" ContentType="application/vnd.openxmlformats-officedocument.drawingml.chart+xml"/>
  <Override PartName="/xl/charts/colors2.xml" ContentType="application/vnd.ms-office.chartcolorstyle+xml"/>
  <Override PartName="/xl/charts/style1.xml" ContentType="application/vnd.ms-office.chartstyle+xml"/>
  <Override PartName="/xl/charts/style4.xml" ContentType="application/vnd.ms-office.chartstyle+xml"/>
  <Override PartName="/xl/charts/colors3.xml" ContentType="application/vnd.ms-office.chartcolor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arth Electrode Test" sheetId="1" state="visible" r:id="rId3"/>
    <sheet name="Soil and Rod" sheetId="2" state="visible" r:id="rId4"/>
    <sheet name="Earth Electrode Test (Example)" sheetId="3" state="visible" r:id="rId5"/>
    <sheet name="Soil and Rod (Example)" sheetId="4" state="visible" r:id="rId6"/>
    <sheet name="Reference" sheetId="5" state="visible" r:id="rId7"/>
  </sheets>
  <definedNames>
    <definedName function="false" hidden="false" localSheetId="0" name="_xlnm.Print_Area" vbProcedure="false">'Earth Electrode Test'!$A$1:$H$41</definedName>
    <definedName function="false" hidden="false" localSheetId="2" name="_xlnm.Print_Area" vbProcedure="false">'Earth Electrode Test (Example)'!$A$1:$H$41</definedName>
    <definedName function="false" hidden="false" localSheetId="1" name="_xlnm.Print_Area" vbProcedure="false">'Soil and Rod'!$A$1:$H$50</definedName>
    <definedName function="false" hidden="false" localSheetId="3" name="_xlnm.Print_Area" vbProcedure="false">'Soil and Rod (Example)'!$A$1:$H$50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<sst xmlns="http://schemas.openxmlformats.org/spreadsheetml/2006/main" count="193" uniqueCount="112">
  <si>
    <t xml:space="preserve">EARTH ELECTRODE RESISTANCE TEST REPORT</t>
  </si>
  <si>
    <t xml:space="preserve">Fall-of-potential method, 62 % rule with 52 / 62 / 72 % plateau check</t>
  </si>
  <si>
    <t xml:space="preserve">Enter data in the blue-on-yellow cells. Grey cells are calculated and locked (sheet protection has no password: Review &gt; Unprotect Sheet).</t>
  </si>
  <si>
    <t xml:space="preserve">1. Job and test details</t>
  </si>
  <si>
    <t xml:space="preserve">Customer / site</t>
  </si>
  <si>
    <t xml:space="preserve">Electrode ID / tag</t>
  </si>
  <si>
    <t xml:space="preserve">Electrode type and description</t>
  </si>
  <si>
    <t xml:space="preserve">Test date</t>
  </si>
  <si>
    <t xml:space="preserve">Soil condition at test</t>
  </si>
  <si>
    <t xml:space="preserve">Last rainfall (date or days ago)</t>
  </si>
  <si>
    <t xml:space="preserve">Largest dimension of electrode L (m)</t>
  </si>
  <si>
    <t xml:space="preserve">Distance from electrode E to current spike C: D (m)</t>
  </si>
  <si>
    <t xml:space="preserve">Seasonal correction factor (default 1.0)</t>
  </si>
  <si>
    <t xml:space="preserve">Permitted earth resistance (Ω)</t>
  </si>
  <si>
    <t xml:space="preserve">Test instrument model</t>
  </si>
  <si>
    <t xml:space="preserve">Serial number and calibration due</t>
  </si>
  <si>
    <t xml:space="preserve">Tested by</t>
  </si>
  <si>
    <t xml:space="preserve">Witnessed or reviewed by</t>
  </si>
  <si>
    <t xml:space="preserve">Spacing check: minimum D for this electrode (m)</t>
  </si>
  <si>
    <t xml:space="preserve">2. Readings along the line from E to C</t>
  </si>
  <si>
    <t xml:space="preserve">Position of P (% of D)</t>
  </si>
  <si>
    <t xml:space="preserve">Distance of P from E (m)</t>
  </si>
  <si>
    <t xml:space="preserve">Reading R (Ω)</t>
  </si>
  <si>
    <t xml:space="preserve">Role</t>
  </si>
  <si>
    <t xml:space="preserve">Check</t>
  </si>
  <si>
    <t xml:space="preserve">Reported value</t>
  </si>
  <si>
    <t xml:space="preserve">Take the readings with P moved in steps while E and C stay fixed. The 52, 62 and 72 % rows are linked to the Reference sheet and drive the plateau check.</t>
  </si>
  <si>
    <t xml:space="preserve">3. Result</t>
  </si>
  <si>
    <t xml:space="preserve">Reading at 52 %</t>
  </si>
  <si>
    <t xml:space="preserve">Reading at 62 %</t>
  </si>
  <si>
    <t xml:space="preserve">Reading at 72 %</t>
  </si>
  <si>
    <t xml:space="preserve">Largest difference from the 62 % reading</t>
  </si>
  <si>
    <t xml:space="preserve">Plateau check</t>
  </si>
  <si>
    <t xml:space="preserve">Seasonal correction factor applied</t>
  </si>
  <si>
    <t xml:space="preserve">EARTH RESISTANCE REPORTED (Ω)</t>
  </si>
  <si>
    <t xml:space="preserve">Against permitted value</t>
  </si>
  <si>
    <t xml:space="preserve">Remarks and recommended action</t>
  </si>
  <si>
    <t xml:space="preserve">Signature and date: tester</t>
  </si>
  <si>
    <t xml:space="preserve">Reviewer</t>
  </si>
  <si>
    <t xml:space="preserve">SOIL RESISTIVITY (WENNER) AND ROD ESTIMATE</t>
  </si>
  <si>
    <t xml:space="preserve">Four-pin Wenner method with exact depth correction, plus a single-rod resistance estimate for comparison with the measurement</t>
  </si>
  <si>
    <t xml:space="preserve">1. Test details</t>
  </si>
  <si>
    <t xml:space="preserve">Traverse direction and location</t>
  </si>
  <si>
    <t xml:space="preserve">Instrument and serial</t>
  </si>
  <si>
    <t xml:space="preserve">Probe depth b (m)</t>
  </si>
  <si>
    <t xml:space="preserve">Depth to which each pin is driven. Keep it small compared with the spacing.</t>
  </si>
  <si>
    <t xml:space="preserve">2. Readings and apparent resistivity</t>
  </si>
  <si>
    <t xml:space="preserve">Spacing a (m)</t>
  </si>
  <si>
    <t xml:space="preserve">b / a</t>
  </si>
  <si>
    <t xml:space="preserve">Resistivity, exact (Ω·m)</t>
  </si>
  <si>
    <t xml:space="preserve">Resistivity, 2 pi a R (Ω·m)</t>
  </si>
  <si>
    <t xml:space="preserve">Difference exact vs simple</t>
  </si>
  <si>
    <t xml:space="preserve">Average resistivity (Ω·m)</t>
  </si>
  <si>
    <t xml:space="preserve">Apparent resistivity at spacing a represents soil down to a depth of the order of a. A resistivity that changes strongly with spacing suggests layered soil.</t>
  </si>
  <si>
    <t xml:space="preserve">Lowest / highest (Ω·m)</t>
  </si>
  <si>
    <t xml:space="preserve">Highest divided by lowest</t>
  </si>
  <si>
    <t xml:space="preserve">3. Single vertical rod estimate (for comparison)</t>
  </si>
  <si>
    <t xml:space="preserve">Resistivity to use (Ω·m)</t>
  </si>
  <si>
    <t xml:space="preserve">Leave blank to use the Wenner average above.</t>
  </si>
  <si>
    <t xml:space="preserve">Resistivity used (Ω·m)</t>
  </si>
  <si>
    <t xml:space="preserve">Rod length in the soil L (m)</t>
  </si>
  <si>
    <t xml:space="preserve">Rod diameter (mm)</t>
  </si>
  <si>
    <t xml:space="preserve">Estimated resistance of one rod (Ω)</t>
  </si>
  <si>
    <t xml:space="preserve">Measured earth resistance (Ω)</t>
  </si>
  <si>
    <t xml:space="preserve">Linked from the earth electrode test sheet.</t>
  </si>
  <si>
    <t xml:space="preserve">Measured against estimate</t>
  </si>
  <si>
    <t xml:space="preserve">Informational only. The estimate assumes uniform soil and one vertical rod, so a difference of tens of percent is common. Large differences point to layered soil, rock, moisture or interference worth investigating.</t>
  </si>
  <si>
    <t xml:space="preserve">EXAMPLE with made-up data, to show the expected format. Use the blank sheet for your own report.</t>
  </si>
  <si>
    <t xml:space="preserve">Demo Plant, Howrah</t>
  </si>
  <si>
    <t xml:space="preserve">EP-3 main earth rod</t>
  </si>
  <si>
    <t xml:space="preserve">Copper-bonded rod, 3 m x 16 mm, in a pit</t>
  </si>
  <si>
    <t xml:space="preserve">Damp</t>
  </si>
  <si>
    <t xml:space="preserve">3 days ago</t>
  </si>
  <si>
    <t xml:space="preserve">CIE DET-2000</t>
  </si>
  <si>
    <t xml:space="preserve">Sample serial, cal due Mar 2027</t>
  </si>
  <si>
    <t xml:space="preserve">A. Sample</t>
  </si>
  <si>
    <t xml:space="preserve">B. Sample</t>
  </si>
  <si>
    <t xml:space="preserve">Example only. The 52, 62 and 72 % readings agree within 5 %, so the plateau is valid. The result is above the 5 Ω target, so add rods or treat the soil, then retest. Also retest in the dry season.</t>
  </si>
  <si>
    <t xml:space="preserve">North to south along the cable route</t>
  </si>
  <si>
    <t xml:space="preserve">REFERENCE: constants, formulas and sources</t>
  </si>
  <si>
    <t xml:space="preserve">Every constant used by the report sheets is listed here once. Blue cells can be edited.</t>
  </si>
  <si>
    <t xml:space="preserve">A. Constants used in the formulas</t>
  </si>
  <si>
    <t xml:space="preserve">Item</t>
  </si>
  <si>
    <t xml:space="preserve">Value</t>
  </si>
  <si>
    <t xml:space="preserve">Unit</t>
  </si>
  <si>
    <t xml:space="preserve">Basis</t>
  </si>
  <si>
    <t xml:space="preserve">First check position of the potential spike P</t>
  </si>
  <si>
    <t xml:space="preserve">% of D</t>
  </si>
  <si>
    <t xml:space="preserve">52 / 62 / 72 % readings are compared to confirm the plateau (fall-of-potential, 62 % method)</t>
  </si>
  <si>
    <t xml:space="preserve">Main position of the potential spike P</t>
  </si>
  <si>
    <t xml:space="preserve">61.8 % of D is the theoretical position, commonly rounded to 62 %</t>
  </si>
  <si>
    <t xml:space="preserve">Second check position of the potential spike P</t>
  </si>
  <si>
    <t xml:space="preserve">See first check position</t>
  </si>
  <si>
    <t xml:space="preserve">Allowed spread of the three readings about the 62 % reading</t>
  </si>
  <si>
    <t xml:space="preserve">%</t>
  </si>
  <si>
    <t xml:space="preserve">A practical acceptance figure, not a limit from a standard. Tighten or relax to suit the job.</t>
  </si>
  <si>
    <t xml:space="preserve">Minimum E to C distance D as a multiple of the largest electrode dimension</t>
  </si>
  <si>
    <t xml:space="preserve">x L</t>
  </si>
  <si>
    <t xml:space="preserve">Common field guide. Larger electrodes and grids may need more. Not a limit from a standard.</t>
  </si>
  <si>
    <t xml:space="preserve">B. Formulas</t>
  </si>
  <si>
    <t xml:space="preserve">Fall of potential</t>
  </si>
  <si>
    <t xml:space="preserve">P distance = fraction x D. The reported earth resistance is the reading at 62 % of D, multiplied by the seasonal factor you enter (default 1).</t>
  </si>
  <si>
    <t xml:space="preserve">Wenner apparent resistivity</t>
  </si>
  <si>
    <t xml:space="preserve">rho = 4 x pi x a x R / (1 + 2a / SQRT(a^2 + 4b^2) - a / SQRT(a^2 + b^2)), with a = probe spacing, b = probe depth, R = tester reading. For b much smaller than a this reduces to rho = 2 x pi x a x R.</t>
  </si>
  <si>
    <t xml:space="preserve">Single vertical rod estimate</t>
  </si>
  <si>
    <t xml:space="preserve">R = rho / (2 x pi x L) x (LN(4L / r) - 1), with L = rod length in the soil and r = rod radius (Dwight formula, uniform soil, L much larger than r).</t>
  </si>
  <si>
    <t xml:space="preserve">C. Sources, assumptions and limits of use</t>
  </si>
  <si>
    <t xml:space="preserve">Sources: IEEE Std 81-2012, Guide for Measuring Earth Resistivity, Ground Impedance, and Earth Surface Potentials of a Grounding System (fall-of-potential method, 62 % rule, Wenner method). Rod formula: H. B. Dwight, 1936. Check against the edition and method your specification names.</t>
  </si>
  <si>
    <t xml:space="preserve">The 62 % rule assumes reasonably uniform soil and an electrode that is small compared with the E to C distance. In layered soil, or near buried metalwork, results can differ. Where the three readings do not agree, increase D and repeat.</t>
  </si>
  <si>
    <t xml:space="preserve">Keep the P and C spikes in line with the electrode, away from buried pipes and cables, and in undisturbed soil. Disconnect the electrode from the installation if the instrument procedure requires it.</t>
  </si>
  <si>
    <t xml:space="preserve">Earth resistance varies with season and soil moisture. Record the soil condition and last rainfall. The seasonal factor is yours to set from site or utility practice and defaults to 1.0.</t>
  </si>
  <si>
    <t xml:space="preserve">The rod estimate is an indication for a single vertical rod in uniform soil. It does not replace a measurement and has no pass or fail limit.</t>
  </si>
</sst>
</file>

<file path=xl/styles.xml><?xml version="1.0" encoding="utf-8"?>
<styleSheet xmlns="http://schemas.openxmlformats.org/spreadsheetml/2006/main">
  <numFmts count="11">
    <numFmt numFmtId="164" formatCode="General"/>
    <numFmt numFmtId="165" formatCode="dd\-mmm\-yyyy"/>
    <numFmt numFmtId="166" formatCode="0.0"/>
    <numFmt numFmtId="167" formatCode="0.00"/>
    <numFmt numFmtId="168" formatCode="0%"/>
    <numFmt numFmtId="169" formatCode="0.0%"/>
    <numFmt numFmtId="170" formatCode="0.000"/>
    <numFmt numFmtId="171" formatCode="0.0#"/>
    <numFmt numFmtId="172" formatCode="#,##0.0"/>
    <numFmt numFmtId="173" formatCode="\+0.0%;\-0.0%;0.0%"/>
    <numFmt numFmtId="174" formatCode="0"/>
  </numFmts>
  <fonts count="20">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sz val="9"/>
      <color rgb="FFC9D1DC"/>
      <name val="Arial"/>
      <family val="0"/>
      <charset val="1"/>
    </font>
    <font>
      <i val="true"/>
      <sz val="9"/>
      <color rgb="FF5B6573"/>
      <name val="Arial"/>
      <family val="0"/>
      <charset val="1"/>
    </font>
    <font>
      <b val="true"/>
      <sz val="10"/>
      <color rgb="FFFFFFFF"/>
      <name val="Arial"/>
      <family val="0"/>
      <charset val="1"/>
    </font>
    <font>
      <b val="true"/>
      <sz val="10"/>
      <color rgb="FF1F2937"/>
      <name val="Arial"/>
      <family val="0"/>
      <charset val="1"/>
    </font>
    <font>
      <sz val="10"/>
      <color rgb="FF0000FF"/>
      <name val="Arial"/>
      <family val="0"/>
      <charset val="1"/>
    </font>
    <font>
      <sz val="10"/>
      <color rgb="FF000000"/>
      <name val="Arial"/>
      <family val="0"/>
      <charset val="1"/>
    </font>
    <font>
      <b val="true"/>
      <sz val="9"/>
      <color rgb="FF1F2937"/>
      <name val="Arial"/>
      <family val="0"/>
      <charset val="1"/>
    </font>
    <font>
      <sz val="10"/>
      <color rgb="FF008000"/>
      <name val="Arial"/>
      <family val="0"/>
      <charset val="1"/>
    </font>
    <font>
      <b val="true"/>
      <sz val="11"/>
      <name val="Arial"/>
      <family val="0"/>
      <charset val="1"/>
    </font>
    <font>
      <b val="true"/>
      <sz val="12"/>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9"/>
      <color rgb="FFC8202B"/>
      <name val="Arial"/>
      <family val="0"/>
      <charset val="1"/>
    </font>
    <font>
      <sz val="10"/>
      <name val="Arial"/>
      <family val="0"/>
      <charset val="1"/>
    </font>
  </fonts>
  <fills count="8">
    <fill>
      <patternFill patternType="none"/>
    </fill>
    <fill>
      <patternFill patternType="gray125"/>
    </fill>
    <fill>
      <patternFill patternType="solid">
        <fgColor rgb="FF0A0E14"/>
        <bgColor rgb="FF000000"/>
      </patternFill>
    </fill>
    <fill>
      <patternFill patternType="solid">
        <fgColor rgb="FF2B3440"/>
        <bgColor rgb="FF1F2937"/>
      </patternFill>
    </fill>
    <fill>
      <patternFill patternType="solid">
        <fgColor rgb="FFFFF8D6"/>
        <bgColor rgb="FFFDE7E9"/>
      </patternFill>
    </fill>
    <fill>
      <patternFill patternType="solid">
        <fgColor rgb="FFEEF1F5"/>
        <bgColor rgb="FFFDE7E9"/>
      </patternFill>
    </fill>
    <fill>
      <patternFill patternType="solid">
        <fgColor rgb="FFDDE3EB"/>
        <bgColor rgb="FFD9D9D9"/>
      </patternFill>
    </fill>
    <fill>
      <patternFill patternType="solid">
        <fgColor rgb="FFFDE7E9"/>
        <bgColor rgb="FFEEF1F5"/>
      </patternFill>
    </fill>
  </fills>
  <borders count="2">
    <border diagonalUp="false" diagonalDown="false">
      <left/>
      <right/>
      <top/>
      <bottom/>
      <diagonal/>
    </border>
    <border diagonalUp="false" diagonalDown="false">
      <left style="thin">
        <color rgb="FFB8C0CC"/>
      </left>
      <right style="thin">
        <color rgb="FFB8C0CC"/>
      </right>
      <top style="thin">
        <color rgb="FFB8C0CC"/>
      </top>
      <bottom style="thin">
        <color rgb="FFB8C0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true" indent="1" shrinkToFit="false"/>
      <protection locked="true" hidden="false"/>
    </xf>
    <xf numFmtId="164" fontId="6" fillId="0" borderId="0" xfId="0" applyFont="true" applyBorder="true" applyAlignment="true" applyProtection="false">
      <alignment horizontal="left" vertical="bottom" textRotation="0" wrapText="false" indent="1" shrinkToFit="false"/>
      <protection locked="true" hidden="false"/>
    </xf>
    <xf numFmtId="164" fontId="7" fillId="3" borderId="0" xfId="0" applyFont="true" applyBorder="true" applyAlignment="true" applyProtection="false">
      <alignment horizontal="left" vertical="center" textRotation="0" wrapText="false" indent="1"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true">
      <alignment horizontal="left" vertical="center" textRotation="0" wrapText="true" indent="0" shrinkToFit="false"/>
      <protection locked="false" hidden="false"/>
    </xf>
    <xf numFmtId="165" fontId="9" fillId="4" borderId="1" xfId="0" applyFont="true" applyBorder="true" applyAlignment="true" applyProtection="true">
      <alignment horizontal="left" vertical="center" textRotation="0" wrapText="true" indent="0" shrinkToFit="false"/>
      <protection locked="false" hidden="false"/>
    </xf>
    <xf numFmtId="166" fontId="9" fillId="4" borderId="1" xfId="0" applyFont="true" applyBorder="true" applyAlignment="true" applyProtection="true">
      <alignment horizontal="left" vertical="center" textRotation="0" wrapText="true" indent="0" shrinkToFit="false"/>
      <protection locked="false" hidden="false"/>
    </xf>
    <xf numFmtId="167" fontId="9" fillId="4" borderId="1" xfId="0" applyFont="true" applyBorder="true" applyAlignment="true" applyProtection="true">
      <alignment horizontal="left" vertical="center" textRotation="0" wrapText="true" indent="0" shrinkToFit="false"/>
      <protection locked="false" hidden="false"/>
    </xf>
    <xf numFmtId="166" fontId="10" fillId="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8" fontId="9" fillId="4" borderId="1" xfId="0" applyFont="true" applyBorder="true" applyAlignment="true" applyProtection="true">
      <alignment horizontal="center" vertical="center" textRotation="0" wrapText="true" indent="0" shrinkToFit="false"/>
      <protection locked="false" hidden="false"/>
    </xf>
    <xf numFmtId="167" fontId="10" fillId="5" borderId="1" xfId="0" applyFont="true" applyBorder="true" applyAlignment="true" applyProtection="false">
      <alignment horizontal="center" vertical="center" textRotation="0" wrapText="true" indent="0" shrinkToFit="false"/>
      <protection locked="true" hidden="false"/>
    </xf>
    <xf numFmtId="167" fontId="9" fillId="4" borderId="1" xfId="0" applyFont="true" applyBorder="true" applyAlignment="true" applyProtection="true">
      <alignment horizontal="center" vertical="center" textRotation="0" wrapText="true" indent="0" shrinkToFit="false"/>
      <protection locked="false" hidden="false"/>
    </xf>
    <xf numFmtId="164" fontId="10" fillId="5" borderId="1" xfId="0" applyFont="true" applyBorder="true" applyAlignment="true" applyProtection="false">
      <alignment horizontal="center" vertical="center" textRotation="0" wrapText="true" indent="0" shrinkToFit="false"/>
      <protection locked="true" hidden="false"/>
    </xf>
    <xf numFmtId="168" fontId="12" fillId="5"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9" fontId="10" fillId="5"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7" fontId="14" fillId="5"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true">
      <alignment horizontal="left" vertical="top" textRotation="0" wrapText="true" indent="0" shrinkToFit="false"/>
      <protection locked="false" hidden="false"/>
    </xf>
    <xf numFmtId="170" fontId="9" fillId="4" borderId="1" xfId="0" applyFont="true" applyBorder="true" applyAlignment="true" applyProtection="true">
      <alignment horizontal="center" vertical="center" textRotation="0" wrapText="true" indent="0" shrinkToFit="false"/>
      <protection locked="false" hidden="false"/>
    </xf>
    <xf numFmtId="171" fontId="9" fillId="4" borderId="1" xfId="0" applyFont="true" applyBorder="true" applyAlignment="true" applyProtection="true">
      <alignment horizontal="center" vertical="center" textRotation="0" wrapText="true" indent="0" shrinkToFit="false"/>
      <protection locked="false" hidden="false"/>
    </xf>
    <xf numFmtId="170" fontId="10" fillId="5" borderId="1" xfId="0" applyFont="true" applyBorder="true" applyAlignment="true" applyProtection="false">
      <alignment horizontal="center" vertical="center" textRotation="0" wrapText="true" indent="0" shrinkToFit="false"/>
      <protection locked="true" hidden="false"/>
    </xf>
    <xf numFmtId="172" fontId="10" fillId="5" borderId="1" xfId="0" applyFont="true" applyBorder="true" applyAlignment="true" applyProtection="false">
      <alignment horizontal="center" vertical="center" textRotation="0" wrapText="true" indent="0" shrinkToFit="false"/>
      <protection locked="true" hidden="false"/>
    </xf>
    <xf numFmtId="172" fontId="9" fillId="4" borderId="1" xfId="0" applyFont="true" applyBorder="true" applyAlignment="true" applyProtection="true">
      <alignment horizontal="center" vertical="center" textRotation="0" wrapText="true" indent="0" shrinkToFit="false"/>
      <protection locked="false" hidden="false"/>
    </xf>
    <xf numFmtId="166" fontId="9" fillId="4" borderId="1" xfId="0" applyFont="true" applyBorder="true" applyAlignment="true" applyProtection="true">
      <alignment horizontal="center" vertical="center" textRotation="0" wrapText="true" indent="0" shrinkToFit="false"/>
      <protection locked="false" hidden="false"/>
    </xf>
    <xf numFmtId="167" fontId="13" fillId="5" borderId="1" xfId="0" applyFont="true" applyBorder="true" applyAlignment="true" applyProtection="false">
      <alignment horizontal="center" vertical="center" textRotation="0" wrapText="true" indent="0" shrinkToFit="false"/>
      <protection locked="true" hidden="false"/>
    </xf>
    <xf numFmtId="167" fontId="12" fillId="5" borderId="1" xfId="0" applyFont="true" applyBorder="true" applyAlignment="true" applyProtection="false">
      <alignment horizontal="center" vertical="center" textRotation="0" wrapText="true" indent="0" shrinkToFit="false"/>
      <protection locked="true" hidden="false"/>
    </xf>
    <xf numFmtId="173" fontId="10" fillId="5" borderId="1" xfId="0" applyFont="true" applyBorder="true" applyAlignment="true" applyProtection="false">
      <alignment horizontal="center" vertical="center" textRotation="0" wrapText="true" indent="0" shrinkToFit="false"/>
      <protection locked="true" hidden="false"/>
    </xf>
    <xf numFmtId="164" fontId="18" fillId="7" borderId="0" xfId="0" applyFont="true" applyBorder="true" applyAlignment="true" applyProtection="false">
      <alignment horizontal="left" vertical="bottom" textRotation="0" wrapText="false" indent="1"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74" fontId="9" fillId="4" borderId="1" xfId="0" applyFont="true" applyBorder="true" applyAlignment="true" applyProtection="true">
      <alignment horizontal="center" vertical="center" textRotation="0" wrapText="true" indent="0" shrinkToFit="false"/>
      <protection locked="fals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19"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9C0006"/>
      </font>
      <fill>
        <patternFill>
          <bgColor rgb="FFFFC7CE"/>
        </patternFill>
      </fill>
    </dxf>
    <dxf>
      <font>
        <name val="Arial"/>
        <charset val="1"/>
        <family val="0"/>
        <b val="1"/>
        <color rgb="FF9C5700"/>
      </font>
      <fill>
        <patternFill>
          <bgColor rgb="FFFFEB9C"/>
        </patternFill>
      </fill>
    </dxf>
    <dxf>
      <font>
        <name val="Arial"/>
        <charset val="1"/>
        <family val="0"/>
        <b val="1"/>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6100"/>
      <rgbColor rgb="FFB8C0CC"/>
      <rgbColor rgb="FF878787"/>
      <rgbColor rgb="FF9999FF"/>
      <rgbColor rgb="FFC8202B"/>
      <rgbColor rgb="FFFFF8D6"/>
      <rgbColor rgb="FFEEF1F5"/>
      <rgbColor rgb="FF660066"/>
      <rgbColor rgb="FFFF8080"/>
      <rgbColor rgb="FF0066CC"/>
      <rgbColor rgb="FFC9D1DC"/>
      <rgbColor rgb="FF000080"/>
      <rgbColor rgb="FFFF00FF"/>
      <rgbColor rgb="FFFFFF00"/>
      <rgbColor rgb="FF00FFFF"/>
      <rgbColor rgb="FF800080"/>
      <rgbColor rgb="FF800000"/>
      <rgbColor rgb="FF008080"/>
      <rgbColor rgb="FF0000FF"/>
      <rgbColor rgb="FF00CCFF"/>
      <rgbColor rgb="FFDDE3EB"/>
      <rgbColor rgb="FFC6EFCE"/>
      <rgbColor rgb="FFFFEB9C"/>
      <rgbColor rgb="FFD9D9D9"/>
      <rgbColor rgb="FFFDE7E9"/>
      <rgbColor rgb="FFCC99FF"/>
      <rgbColor rgb="FFFFC7CE"/>
      <rgbColor rgb="FF3366FF"/>
      <rgbColor rgb="FF33CCCC"/>
      <rgbColor rgb="FF98B855"/>
      <rgbColor rgb="FFFFCC00"/>
      <rgbColor rgb="FFFF9900"/>
      <rgbColor rgb="FFFF6600"/>
      <rgbColor rgb="FF5B6573"/>
      <rgbColor rgb="FF969696"/>
      <rgbColor rgb="FF003366"/>
      <rgbColor rgb="FF339966"/>
      <rgbColor rgb="FF0A0E14"/>
      <rgbColor rgb="FF1F2937"/>
      <rgbColor rgb="FF9C5700"/>
      <rgbColor rgb="FF993366"/>
      <rgbColor rgb="FF333399"/>
      <rgbColor rgb="FF2B34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3"/>
  <c:chart>
    <c:title>
      <c:tx>
        <c:rich>
          <a:bodyPr rot="0"/>
          <a:lstStyle/>
          <a:p>
            <a:pPr>
              <a:defRPr sz="1300" b="0" u="none" strike="noStrike">
                <a:uFillTx/>
                <a:latin typeface="Arial"/>
              </a:defRPr>
            </a:pPr>
            <a:r>
              <a:rPr sz="1800" b="1" u="none" strike="noStrike">
                <a:solidFill>
                  <a:srgbClr val="000000"/>
                </a:solidFill>
                <a:uFillTx/>
                <a:latin typeface="Calibri"/>
              </a:rPr>
              <a:t>Reading against P position</a:t>
            </a:r>
          </a:p>
        </c:rich>
      </c:tx>
      <c:overlay val="0"/>
      <c:spPr>
        <a:noFill/>
        <a:ln w="0">
          <a:noFill/>
        </a:ln>
      </c:spPr>
    </c:title>
    <c:autoTitleDeleted val="0"/>
    <c:plotArea>
      <c:scatterChart>
        <c:scatterStyle val="lineMarker"/>
        <c:varyColors val="0"/>
        <c:ser>
          <c:idx val="0"/>
          <c:order val="0"/>
          <c:tx>
            <c:strRef>
              <c:f>"Readings"</c:f>
              <c:strCache>
                <c:ptCount val="1"/>
                <c:pt idx="0">
                  <c:v>Readings</c:v>
                </c:pt>
              </c:strCache>
            </c:strRef>
          </c:tx>
          <c:spPr>
            <a:ln w="12600">
              <a:solidFill>
                <a:srgbClr val="98B855"/>
              </a:solidFill>
              <a:round/>
            </a:ln>
          </c:spPr>
          <c:marker>
            <c:symbol val="circle"/>
            <c:size val="7"/>
            <c:spPr>
              <a:solidFill>
                <a:srgbClr val="98B855"/>
              </a:solidFill>
            </c:spPr>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xVal>
            <c:numRef>
              <c:f>'Earth Electrode Test'!$B$17:$B$26</c:f>
              <c:numCache>
                <c:formatCode>General</c:formatCode>
                <c:ptCount val="10"/>
              </c:numCache>
            </c:numRef>
          </c:xVal>
          <c:yVal>
            <c:numRef>
              <c:f>'Earth Electrode Test'!$C$17:$C$26</c:f>
              <c:numCache>
                <c:formatCode>General</c:formatCode>
                <c:ptCount val="10"/>
              </c:numCache>
            </c:numRef>
          </c:yVal>
          <c:smooth val="1"/>
        </c:ser>
        <c:axId val="22518837"/>
        <c:axId val="88326437"/>
      </c:scatterChart>
      <c:valAx>
        <c:axId val="22518837"/>
        <c:scaling>
          <c:orientation val="minMax"/>
        </c:scaling>
        <c:delete val="0"/>
        <c:axPos val="b"/>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Distance of P from E (m)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8326437"/>
        <c:crosses val="autoZero"/>
        <c:crossBetween val="midCat"/>
      </c:valAx>
      <c:valAx>
        <c:axId val="88326437"/>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Resistance (Ω)</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2518837"/>
        <c:crosses val="autoZero"/>
        <c:crossBetween val="midCat"/>
      </c:valAx>
      <c:spPr>
        <a:ln w="0">
          <a:noFill/>
        </a:ln>
      </c:spPr>
    </c:plotArea>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3"/>
  <c:chart>
    <c:title>
      <c:tx>
        <c:rich>
          <a:bodyPr rot="0"/>
          <a:lstStyle/>
          <a:p>
            <a:pPr>
              <a:defRPr sz="1300" b="0" u="none" strike="noStrike">
                <a:uFillTx/>
                <a:latin typeface="Arial"/>
              </a:defRPr>
            </a:pPr>
            <a:r>
              <a:rPr sz="1800" b="1" u="none" strike="noStrike">
                <a:solidFill>
                  <a:srgbClr val="000000"/>
                </a:solidFill>
                <a:uFillTx/>
                <a:latin typeface="Calibri"/>
              </a:rPr>
              <a:t>Apparent resistivity against spacing</a:t>
            </a:r>
          </a:p>
        </c:rich>
      </c:tx>
      <c:overlay val="0"/>
      <c:spPr>
        <a:noFill/>
        <a:ln w="0">
          <a:noFill/>
        </a:ln>
      </c:spPr>
    </c:title>
    <c:autoTitleDeleted val="0"/>
    <c:plotArea>
      <c:scatterChart>
        <c:scatterStyle val="lineMarker"/>
        <c:varyColors val="0"/>
        <c:ser>
          <c:idx val="0"/>
          <c:order val="0"/>
          <c:tx>
            <c:strRef>
              <c:f>"Exact"</c:f>
              <c:strCache>
                <c:ptCount val="1"/>
                <c:pt idx="0">
                  <c:v>Exact</c:v>
                </c:pt>
              </c:strCache>
            </c:strRef>
          </c:tx>
          <c:spPr>
            <a:ln w="12600">
              <a:solidFill>
                <a:srgbClr val="98B855"/>
              </a:solidFill>
              <a:round/>
            </a:ln>
          </c:spPr>
          <c:marker>
            <c:symbol val="circle"/>
            <c:size val="7"/>
            <c:spPr>
              <a:solidFill>
                <a:srgbClr val="98B855"/>
              </a:solidFill>
            </c:spPr>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xVal>
            <c:numRef>
              <c:f>'Soil and Rod'!$A$12:$A$19</c:f>
              <c:numCache>
                <c:formatCode>General</c:formatCode>
                <c:ptCount val="8"/>
              </c:numCache>
            </c:numRef>
          </c:xVal>
          <c:yVal>
            <c:numRef>
              <c:f>'Soil and Rod'!$D$12:$D$19</c:f>
              <c:numCache>
                <c:formatCode>General</c:formatCode>
                <c:ptCount val="8"/>
              </c:numCache>
            </c:numRef>
          </c:yVal>
          <c:smooth val="1"/>
        </c:ser>
        <c:axId val="50747546"/>
        <c:axId val="4454613"/>
      </c:scatterChart>
      <c:valAx>
        <c:axId val="50747546"/>
        <c:scaling>
          <c:orientation val="minMax"/>
        </c:scaling>
        <c:delete val="0"/>
        <c:axPos val="b"/>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Spacing a (m)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454613"/>
        <c:crosses val="autoZero"/>
        <c:crossBetween val="midCat"/>
      </c:valAx>
      <c:valAx>
        <c:axId val="4454613"/>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Resistivity (Ω·m)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0747546"/>
        <c:crosses val="autoZero"/>
        <c:crossBetween val="midCat"/>
      </c:valAx>
      <c:spPr>
        <a:ln w="0">
          <a:noFill/>
        </a:ln>
      </c:spPr>
    </c:plotArea>
    <c:plotVisOnly val="1"/>
    <c:dispBlanksAs val="gap"/>
  </c:chart>
  <c:spPr>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3"/>
  <c:chart>
    <c:title>
      <c:tx>
        <c:rich>
          <a:bodyPr rot="0"/>
          <a:lstStyle/>
          <a:p>
            <a:pPr>
              <a:defRPr sz="1300" b="0" u="none" strike="noStrike">
                <a:uFillTx/>
                <a:latin typeface="Arial"/>
              </a:defRPr>
            </a:pPr>
            <a:r>
              <a:rPr sz="1800" b="1" u="none" strike="noStrike">
                <a:solidFill>
                  <a:srgbClr val="000000"/>
                </a:solidFill>
                <a:uFillTx/>
                <a:latin typeface="Calibri"/>
              </a:rPr>
              <a:t>Reading against P position</a:t>
            </a:r>
          </a:p>
        </c:rich>
      </c:tx>
      <c:overlay val="0"/>
      <c:spPr>
        <a:noFill/>
        <a:ln w="0">
          <a:noFill/>
        </a:ln>
      </c:spPr>
    </c:title>
    <c:autoTitleDeleted val="0"/>
    <c:plotArea>
      <c:scatterChart>
        <c:scatterStyle val="lineMarker"/>
        <c:varyColors val="0"/>
        <c:ser>
          <c:idx val="0"/>
          <c:order val="0"/>
          <c:tx>
            <c:strRef>
              <c:f>"Readings"</c:f>
              <c:strCache>
                <c:ptCount val="1"/>
                <c:pt idx="0">
                  <c:v>Readings</c:v>
                </c:pt>
              </c:strCache>
            </c:strRef>
          </c:tx>
          <c:spPr>
            <a:ln w="12600">
              <a:solidFill>
                <a:srgbClr val="98B855"/>
              </a:solidFill>
              <a:round/>
            </a:ln>
          </c:spPr>
          <c:marker>
            <c:symbol val="circle"/>
            <c:size val="7"/>
            <c:spPr>
              <a:solidFill>
                <a:srgbClr val="98B855"/>
              </a:solidFill>
            </c:spPr>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xVal>
            <c:numRef>
              <c:f>'Earth Electrode Test (Example)'!$B$17:$B$26</c:f>
              <c:numCache>
                <c:formatCode>0.00</c:formatCode>
                <c:ptCount val="10"/>
                <c:pt idx="0">
                  <c:v>4</c:v>
                </c:pt>
                <c:pt idx="1">
                  <c:v>8</c:v>
                </c:pt>
                <c:pt idx="2">
                  <c:v>12</c:v>
                </c:pt>
                <c:pt idx="3">
                  <c:v>16</c:v>
                </c:pt>
                <c:pt idx="4">
                  <c:v>20</c:v>
                </c:pt>
                <c:pt idx="5">
                  <c:v>20.8</c:v>
                </c:pt>
                <c:pt idx="6">
                  <c:v>24.8</c:v>
                </c:pt>
                <c:pt idx="7">
                  <c:v>28.8</c:v>
                </c:pt>
                <c:pt idx="8">
                  <c:v>32</c:v>
                </c:pt>
                <c:pt idx="9">
                  <c:v>36</c:v>
                </c:pt>
              </c:numCache>
            </c:numRef>
          </c:xVal>
          <c:yVal>
            <c:numRef>
              <c:f>'Earth Electrode Test (Example)'!$C$17:$C$26</c:f>
              <c:numCache>
                <c:formatCode>0.00</c:formatCode>
                <c:ptCount val="10"/>
                <c:pt idx="0">
                  <c:v>12</c:v>
                </c:pt>
                <c:pt idx="1">
                  <c:v>15.5</c:v>
                </c:pt>
                <c:pt idx="2">
                  <c:v>17.6</c:v>
                </c:pt>
                <c:pt idx="3">
                  <c:v>18.8</c:v>
                </c:pt>
                <c:pt idx="4">
                  <c:v>19.5</c:v>
                </c:pt>
                <c:pt idx="5">
                  <c:v>19.6</c:v>
                </c:pt>
                <c:pt idx="6">
                  <c:v>19.8</c:v>
                </c:pt>
                <c:pt idx="7">
                  <c:v>20.1</c:v>
                </c:pt>
                <c:pt idx="8">
                  <c:v>21.5</c:v>
                </c:pt>
                <c:pt idx="9">
                  <c:v>27</c:v>
                </c:pt>
              </c:numCache>
            </c:numRef>
          </c:yVal>
          <c:smooth val="1"/>
        </c:ser>
        <c:axId val="57460255"/>
        <c:axId val="68497375"/>
      </c:scatterChart>
      <c:valAx>
        <c:axId val="57460255"/>
        <c:scaling>
          <c:orientation val="minMax"/>
        </c:scaling>
        <c:delete val="0"/>
        <c:axPos val="b"/>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Distance of P from E (m)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8497375"/>
        <c:crosses val="autoZero"/>
        <c:crossBetween val="midCat"/>
      </c:valAx>
      <c:valAx>
        <c:axId val="6849737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Resistance (Ω)</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460255"/>
        <c:crosses val="autoZero"/>
        <c:crossBetween val="midCat"/>
      </c:valAx>
      <c:spPr>
        <a:ln w="0">
          <a:noFill/>
        </a:ln>
      </c:spPr>
    </c:plotArea>
    <c:plotVisOnly val="1"/>
    <c:dispBlanksAs val="gap"/>
  </c:chart>
  <c:spPr>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3"/>
  <c:chart>
    <c:title>
      <c:tx>
        <c:rich>
          <a:bodyPr rot="0"/>
          <a:lstStyle/>
          <a:p>
            <a:pPr>
              <a:defRPr sz="1300" b="0" u="none" strike="noStrike">
                <a:uFillTx/>
                <a:latin typeface="Arial"/>
              </a:defRPr>
            </a:pPr>
            <a:r>
              <a:rPr sz="1800" b="1" u="none" strike="noStrike">
                <a:solidFill>
                  <a:srgbClr val="000000"/>
                </a:solidFill>
                <a:uFillTx/>
                <a:latin typeface="Calibri"/>
              </a:rPr>
              <a:t>Apparent resistivity against spacing</a:t>
            </a:r>
          </a:p>
        </c:rich>
      </c:tx>
      <c:overlay val="0"/>
      <c:spPr>
        <a:noFill/>
        <a:ln w="0">
          <a:noFill/>
        </a:ln>
      </c:spPr>
    </c:title>
    <c:autoTitleDeleted val="0"/>
    <c:plotArea>
      <c:scatterChart>
        <c:scatterStyle val="lineMarker"/>
        <c:varyColors val="0"/>
        <c:ser>
          <c:idx val="0"/>
          <c:order val="0"/>
          <c:tx>
            <c:strRef>
              <c:f>"Exact"</c:f>
              <c:strCache>
                <c:ptCount val="1"/>
                <c:pt idx="0">
                  <c:v>Exact</c:v>
                </c:pt>
              </c:strCache>
            </c:strRef>
          </c:tx>
          <c:spPr>
            <a:ln w="12600">
              <a:solidFill>
                <a:srgbClr val="98B855"/>
              </a:solidFill>
              <a:round/>
            </a:ln>
          </c:spPr>
          <c:marker>
            <c:symbol val="circle"/>
            <c:size val="7"/>
            <c:spPr>
              <a:solidFill>
                <a:srgbClr val="98B855"/>
              </a:solidFill>
            </c:spPr>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xVal>
            <c:numRef>
              <c:f>'Soil and Rod (Example)'!$A$12:$A$19</c:f>
              <c:numCache>
                <c:formatCode>0.0#</c:formatCode>
                <c:ptCount val="8"/>
                <c:pt idx="0">
                  <c:v>1</c:v>
                </c:pt>
                <c:pt idx="1">
                  <c:v>2</c:v>
                </c:pt>
                <c:pt idx="2">
                  <c:v>4</c:v>
                </c:pt>
                <c:pt idx="3">
                  <c:v>8</c:v>
                </c:pt>
                <c:pt idx="4">
                  <c:v>16</c:v>
                </c:pt>
              </c:numCache>
            </c:numRef>
          </c:xVal>
          <c:yVal>
            <c:numRef>
              <c:f>'Soil and Rod (Example)'!$D$12:$D$19</c:f>
              <c:numCache>
                <c:formatCode>#,##0.0</c:formatCode>
                <c:ptCount val="8"/>
                <c:pt idx="0">
                  <c:v>66.1009817302595</c:v>
                </c:pt>
                <c:pt idx="1">
                  <c:v>60.974366740671</c:v>
                </c:pt>
                <c:pt idx="2">
                  <c:v>58.3096365401336</c:v>
                </c:pt>
                <c:pt idx="3">
                  <c:v>58.8748754789942</c:v>
                </c:pt>
                <c:pt idx="4">
                  <c:v>61.3406527327933</c:v>
                </c:pt>
              </c:numCache>
            </c:numRef>
          </c:yVal>
          <c:smooth val="1"/>
        </c:ser>
        <c:axId val="63118742"/>
        <c:axId val="20897615"/>
      </c:scatterChart>
      <c:valAx>
        <c:axId val="63118742"/>
        <c:scaling>
          <c:orientation val="minMax"/>
        </c:scaling>
        <c:delete val="0"/>
        <c:axPos val="b"/>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Spacing a (m)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897615"/>
        <c:crosses val="autoZero"/>
        <c:crossBetween val="midCat"/>
      </c:valAx>
      <c:valAx>
        <c:axId val="2089761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Resistivity (Ω·m)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3118742"/>
        <c:crosses val="autoZero"/>
        <c:crossBetween val="midCat"/>
      </c:valAx>
      <c:spPr>
        <a:ln w="0">
          <a:noFill/>
        </a:ln>
      </c:spPr>
    </c:plotArea>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15</xdr:row>
      <xdr:rowOff>0</xdr:rowOff>
    </xdr:from>
    <xdr:to>
      <xdr:col>8</xdr:col>
      <xdr:colOff>91800</xdr:colOff>
      <xdr:row>26</xdr:row>
      <xdr:rowOff>17640</xdr:rowOff>
    </xdr:to>
    <xdr:graphicFrame>
      <xdr:nvGraphicFramePr>
        <xdr:cNvPr id="1" name="Chart 1"/>
        <xdr:cNvGraphicFramePr/>
      </xdr:nvGraphicFramePr>
      <xdr:xfrm>
        <a:off x="5286240" y="4074120"/>
        <a:ext cx="4391640" cy="2303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0</xdr:row>
      <xdr:rowOff>0</xdr:rowOff>
    </xdr:from>
    <xdr:to>
      <xdr:col>6</xdr:col>
      <xdr:colOff>533160</xdr:colOff>
      <xdr:row>0</xdr:row>
      <xdr:rowOff>342720</xdr:rowOff>
    </xdr:to>
    <xdr:pic>
      <xdr:nvPicPr>
        <xdr:cNvPr id="2" name="Image 2" descr="Picture"/>
        <xdr:cNvPicPr/>
      </xdr:nvPicPr>
      <xdr:blipFill>
        <a:blip r:embed="rId2"/>
        <a:stretch/>
      </xdr:blipFill>
      <xdr:spPr>
        <a:xfrm>
          <a:off x="7753320" y="0"/>
          <a:ext cx="533160" cy="3427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0</xdr:rowOff>
    </xdr:from>
    <xdr:to>
      <xdr:col>4</xdr:col>
      <xdr:colOff>692280</xdr:colOff>
      <xdr:row>48</xdr:row>
      <xdr:rowOff>22320</xdr:rowOff>
    </xdr:to>
    <xdr:graphicFrame>
      <xdr:nvGraphicFramePr>
        <xdr:cNvPr id="3" name="Chart 1"/>
        <xdr:cNvGraphicFramePr/>
      </xdr:nvGraphicFramePr>
      <xdr:xfrm>
        <a:off x="0" y="7608600"/>
        <a:ext cx="61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0</xdr:row>
      <xdr:rowOff>0</xdr:rowOff>
    </xdr:from>
    <xdr:to>
      <xdr:col>6</xdr:col>
      <xdr:colOff>533160</xdr:colOff>
      <xdr:row>0</xdr:row>
      <xdr:rowOff>342720</xdr:rowOff>
    </xdr:to>
    <xdr:pic>
      <xdr:nvPicPr>
        <xdr:cNvPr id="4" name="Image 2" descr="Picture"/>
        <xdr:cNvPicPr/>
      </xdr:nvPicPr>
      <xdr:blipFill>
        <a:blip r:embed="rId2"/>
        <a:stretch/>
      </xdr:blipFill>
      <xdr:spPr>
        <a:xfrm>
          <a:off x="7400880" y="0"/>
          <a:ext cx="533160" cy="3427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15</xdr:row>
      <xdr:rowOff>0</xdr:rowOff>
    </xdr:from>
    <xdr:to>
      <xdr:col>8</xdr:col>
      <xdr:colOff>91800</xdr:colOff>
      <xdr:row>26</xdr:row>
      <xdr:rowOff>17640</xdr:rowOff>
    </xdr:to>
    <xdr:graphicFrame>
      <xdr:nvGraphicFramePr>
        <xdr:cNvPr id="5" name="Chart 1"/>
        <xdr:cNvGraphicFramePr/>
      </xdr:nvGraphicFramePr>
      <xdr:xfrm>
        <a:off x="5286240" y="4074120"/>
        <a:ext cx="4391640" cy="2303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0</xdr:row>
      <xdr:rowOff>0</xdr:rowOff>
    </xdr:from>
    <xdr:to>
      <xdr:col>6</xdr:col>
      <xdr:colOff>533160</xdr:colOff>
      <xdr:row>0</xdr:row>
      <xdr:rowOff>342720</xdr:rowOff>
    </xdr:to>
    <xdr:pic>
      <xdr:nvPicPr>
        <xdr:cNvPr id="6" name="Image 2" descr="Picture"/>
        <xdr:cNvPicPr/>
      </xdr:nvPicPr>
      <xdr:blipFill>
        <a:blip r:embed="rId2"/>
        <a:stretch/>
      </xdr:blipFill>
      <xdr:spPr>
        <a:xfrm>
          <a:off x="7753320" y="0"/>
          <a:ext cx="533160" cy="34272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0</xdr:rowOff>
    </xdr:from>
    <xdr:to>
      <xdr:col>4</xdr:col>
      <xdr:colOff>692280</xdr:colOff>
      <xdr:row>48</xdr:row>
      <xdr:rowOff>22320</xdr:rowOff>
    </xdr:to>
    <xdr:graphicFrame>
      <xdr:nvGraphicFramePr>
        <xdr:cNvPr id="7" name="Chart 1"/>
        <xdr:cNvGraphicFramePr/>
      </xdr:nvGraphicFramePr>
      <xdr:xfrm>
        <a:off x="0" y="7608600"/>
        <a:ext cx="61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0</xdr:row>
      <xdr:rowOff>0</xdr:rowOff>
    </xdr:from>
    <xdr:to>
      <xdr:col>6</xdr:col>
      <xdr:colOff>533160</xdr:colOff>
      <xdr:row>0</xdr:row>
      <xdr:rowOff>342720</xdr:rowOff>
    </xdr:to>
    <xdr:pic>
      <xdr:nvPicPr>
        <xdr:cNvPr id="8" name="Image 2" descr="Picture"/>
        <xdr:cNvPicPr/>
      </xdr:nvPicPr>
      <xdr:blipFill>
        <a:blip r:embed="rId2"/>
        <a:stretch/>
      </xdr:blipFill>
      <xdr:spPr>
        <a:xfrm>
          <a:off x="7400880" y="0"/>
          <a:ext cx="533160" cy="342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4" min="2" style="0" width="13"/>
    <col collapsed="false" customWidth="true" hidden="false" outlineLevel="0" max="5" min="5" style="0" width="22"/>
    <col collapsed="false" customWidth="true" hidden="false" outlineLevel="0" max="8" min="6" style="0" width="13"/>
  </cols>
  <sheetData>
    <row r="1" customFormat="false" ht="30" hidden="false" customHeight="true" outlineLevel="0" collapsed="false">
      <c r="A1" s="1" t="s">
        <v>0</v>
      </c>
      <c r="B1" s="1"/>
      <c r="C1" s="1"/>
      <c r="D1" s="1"/>
      <c r="E1" s="1"/>
      <c r="F1" s="1"/>
      <c r="G1" s="1"/>
      <c r="H1" s="1"/>
    </row>
    <row r="2" customFormat="false" ht="25.5" hidden="false" customHeight="true" outlineLevel="0" collapsed="false">
      <c r="A2" s="2" t="s">
        <v>1</v>
      </c>
      <c r="B2" s="2"/>
      <c r="C2" s="2"/>
      <c r="D2" s="2"/>
      <c r="E2" s="2"/>
      <c r="F2" s="2"/>
      <c r="G2" s="2"/>
      <c r="H2" s="2"/>
    </row>
    <row r="3" customFormat="false" ht="15" hidden="false" customHeight="false" outlineLevel="0" collapsed="false">
      <c r="A3" s="3" t="s">
        <v>2</v>
      </c>
      <c r="B3" s="3"/>
      <c r="C3" s="3"/>
      <c r="D3" s="3"/>
      <c r="E3" s="3"/>
      <c r="F3" s="3"/>
      <c r="G3" s="3"/>
      <c r="H3" s="3"/>
    </row>
    <row r="5" customFormat="false" ht="18" hidden="false" customHeight="true" outlineLevel="0" collapsed="false">
      <c r="A5" s="4" t="s">
        <v>3</v>
      </c>
      <c r="B5" s="4"/>
      <c r="C5" s="4"/>
      <c r="D5" s="4"/>
      <c r="E5" s="4"/>
      <c r="F5" s="4"/>
      <c r="G5" s="4"/>
      <c r="H5" s="4"/>
    </row>
    <row r="6" customFormat="false" ht="15" hidden="false" customHeight="false" outlineLevel="0" collapsed="false">
      <c r="A6" s="5" t="s">
        <v>4</v>
      </c>
      <c r="B6" s="6"/>
      <c r="C6" s="6"/>
      <c r="D6" s="6"/>
      <c r="E6" s="5" t="s">
        <v>5</v>
      </c>
      <c r="F6" s="6"/>
      <c r="G6" s="6"/>
      <c r="H6" s="6"/>
    </row>
    <row r="7" customFormat="false" ht="15" hidden="false" customHeight="false" outlineLevel="0" collapsed="false">
      <c r="A7" s="5" t="s">
        <v>6</v>
      </c>
      <c r="B7" s="6"/>
      <c r="C7" s="6"/>
      <c r="D7" s="6"/>
      <c r="E7" s="5" t="s">
        <v>7</v>
      </c>
      <c r="F7" s="7"/>
      <c r="G7" s="7"/>
      <c r="H7" s="7"/>
    </row>
    <row r="8" customFormat="false" ht="23.85" hidden="false" customHeight="false" outlineLevel="0" collapsed="false">
      <c r="A8" s="5" t="s">
        <v>8</v>
      </c>
      <c r="B8" s="6"/>
      <c r="C8" s="6"/>
      <c r="D8" s="6"/>
      <c r="E8" s="5" t="s">
        <v>9</v>
      </c>
      <c r="F8" s="6"/>
      <c r="G8" s="6"/>
      <c r="H8" s="6"/>
    </row>
    <row r="9" customFormat="false" ht="35.05" hidden="false" customHeight="false" outlineLevel="0" collapsed="false">
      <c r="A9" s="5" t="s">
        <v>10</v>
      </c>
      <c r="B9" s="8"/>
      <c r="C9" s="8"/>
      <c r="D9" s="8"/>
      <c r="E9" s="5" t="s">
        <v>11</v>
      </c>
      <c r="F9" s="8"/>
      <c r="G9" s="8"/>
      <c r="H9" s="8"/>
    </row>
    <row r="10" customFormat="false" ht="23.85" hidden="false" customHeight="false" outlineLevel="0" collapsed="false">
      <c r="A10" s="5" t="s">
        <v>12</v>
      </c>
      <c r="B10" s="9"/>
      <c r="C10" s="9"/>
      <c r="D10" s="9"/>
      <c r="E10" s="5" t="s">
        <v>13</v>
      </c>
      <c r="F10" s="9"/>
      <c r="G10" s="9"/>
      <c r="H10" s="9"/>
    </row>
    <row r="11" customFormat="false" ht="23.85" hidden="false" customHeight="false" outlineLevel="0" collapsed="false">
      <c r="A11" s="5" t="s">
        <v>14</v>
      </c>
      <c r="B11" s="6"/>
      <c r="C11" s="6"/>
      <c r="D11" s="6"/>
      <c r="E11" s="5" t="s">
        <v>15</v>
      </c>
      <c r="F11" s="6"/>
      <c r="G11" s="6"/>
      <c r="H11" s="6"/>
    </row>
    <row r="12" customFormat="false" ht="23.85" hidden="false" customHeight="false" outlineLevel="0" collapsed="false">
      <c r="A12" s="5" t="s">
        <v>16</v>
      </c>
      <c r="B12" s="6"/>
      <c r="C12" s="6"/>
      <c r="D12" s="6"/>
      <c r="E12" s="5" t="s">
        <v>17</v>
      </c>
      <c r="F12" s="6"/>
      <c r="G12" s="6"/>
      <c r="H12" s="6"/>
    </row>
    <row r="13" customFormat="false" ht="23.85" hidden="false" customHeight="false" outlineLevel="0" collapsed="false">
      <c r="A13" s="5" t="s">
        <v>18</v>
      </c>
      <c r="B13" s="10" t="str">
        <f aca="false">IF(ISNUMBER(B9),B9*Reference!$B$11,"")</f>
        <v/>
      </c>
      <c r="C13" s="11" t="str">
        <f aca="false">IF(OR(B13="",NOT(ISNUMBER(F9))),"",IF(F9&gt;=B13,"Valid - D is at least "&amp;Reference!$B$11&amp;" x L","Check - D is below "&amp;Reference!$B$11&amp;" x L, move C farther out"))</f>
        <v/>
      </c>
      <c r="D13" s="11"/>
      <c r="E13" s="11"/>
      <c r="F13" s="11"/>
      <c r="G13" s="11"/>
      <c r="H13" s="11"/>
    </row>
    <row r="15" customFormat="false" ht="18" hidden="false" customHeight="true" outlineLevel="0" collapsed="false">
      <c r="A15" s="4" t="s">
        <v>19</v>
      </c>
      <c r="B15" s="4"/>
      <c r="C15" s="4"/>
      <c r="D15" s="4"/>
      <c r="E15" s="4"/>
      <c r="F15" s="4"/>
      <c r="G15" s="4"/>
      <c r="H15" s="4"/>
    </row>
    <row r="16" customFormat="false" ht="30" hidden="false" customHeight="true" outlineLevel="0" collapsed="false">
      <c r="A16" s="12" t="s">
        <v>20</v>
      </c>
      <c r="B16" s="12" t="s">
        <v>21</v>
      </c>
      <c r="C16" s="12" t="s">
        <v>22</v>
      </c>
      <c r="D16" s="12" t="s">
        <v>23</v>
      </c>
    </row>
    <row r="17" customFormat="false" ht="15" hidden="false" customHeight="false" outlineLevel="0" collapsed="false">
      <c r="A17" s="13" t="n">
        <v>0.1</v>
      </c>
      <c r="B17" s="14" t="str">
        <f aca="false">IF(AND(ISNUMBER(A17),ISNUMBER($F$9)),A17*$F$9,"")</f>
        <v/>
      </c>
      <c r="C17" s="15"/>
      <c r="D17" s="16"/>
    </row>
    <row r="18" customFormat="false" ht="15" hidden="false" customHeight="false" outlineLevel="0" collapsed="false">
      <c r="A18" s="13" t="n">
        <v>0.2</v>
      </c>
      <c r="B18" s="14" t="str">
        <f aca="false">IF(AND(ISNUMBER(A18),ISNUMBER($F$9)),A18*$F$9,"")</f>
        <v/>
      </c>
      <c r="C18" s="15"/>
      <c r="D18" s="16"/>
    </row>
    <row r="19" customFormat="false" ht="15" hidden="false" customHeight="false" outlineLevel="0" collapsed="false">
      <c r="A19" s="13" t="n">
        <v>0.3</v>
      </c>
      <c r="B19" s="14" t="str">
        <f aca="false">IF(AND(ISNUMBER(A19),ISNUMBER($F$9)),A19*$F$9,"")</f>
        <v/>
      </c>
      <c r="C19" s="15"/>
      <c r="D19" s="16"/>
    </row>
    <row r="20" customFormat="false" ht="15" hidden="false" customHeight="false" outlineLevel="0" collapsed="false">
      <c r="A20" s="13" t="n">
        <v>0.4</v>
      </c>
      <c r="B20" s="14" t="str">
        <f aca="false">IF(AND(ISNUMBER(A20),ISNUMBER($F$9)),A20*$F$9,"")</f>
        <v/>
      </c>
      <c r="C20" s="15"/>
      <c r="D20" s="16"/>
    </row>
    <row r="21" customFormat="false" ht="15" hidden="false" customHeight="false" outlineLevel="0" collapsed="false">
      <c r="A21" s="13" t="n">
        <v>0.5</v>
      </c>
      <c r="B21" s="14" t="str">
        <f aca="false">IF(AND(ISNUMBER(A21),ISNUMBER($F$9)),A21*$F$9,"")</f>
        <v/>
      </c>
      <c r="C21" s="15"/>
      <c r="D21" s="16"/>
    </row>
    <row r="22" customFormat="false" ht="15" hidden="false" customHeight="false" outlineLevel="0" collapsed="false">
      <c r="A22" s="17" t="n">
        <f aca="false">Reference!$B$7</f>
        <v>0.52</v>
      </c>
      <c r="B22" s="14" t="str">
        <f aca="false">IF(AND(ISNUMBER(A22),ISNUMBER($F$9)),A22*$F$9,"")</f>
        <v/>
      </c>
      <c r="C22" s="15"/>
      <c r="D22" s="16" t="s">
        <v>24</v>
      </c>
    </row>
    <row r="23" customFormat="false" ht="15" hidden="false" customHeight="false" outlineLevel="0" collapsed="false">
      <c r="A23" s="17" t="n">
        <f aca="false">Reference!$B$8</f>
        <v>0.62</v>
      </c>
      <c r="B23" s="14" t="str">
        <f aca="false">IF(AND(ISNUMBER(A23),ISNUMBER($F$9)),A23*$F$9,"")</f>
        <v/>
      </c>
      <c r="C23" s="15"/>
      <c r="D23" s="16" t="s">
        <v>25</v>
      </c>
    </row>
    <row r="24" customFormat="false" ht="15" hidden="false" customHeight="false" outlineLevel="0" collapsed="false">
      <c r="A24" s="17" t="n">
        <f aca="false">Reference!$B$9</f>
        <v>0.72</v>
      </c>
      <c r="B24" s="14" t="str">
        <f aca="false">IF(AND(ISNUMBER(A24),ISNUMBER($F$9)),A24*$F$9,"")</f>
        <v/>
      </c>
      <c r="C24" s="15"/>
      <c r="D24" s="16" t="s">
        <v>24</v>
      </c>
    </row>
    <row r="25" customFormat="false" ht="15" hidden="false" customHeight="false" outlineLevel="0" collapsed="false">
      <c r="A25" s="13" t="n">
        <v>0.8</v>
      </c>
      <c r="B25" s="14" t="str">
        <f aca="false">IF(AND(ISNUMBER(A25),ISNUMBER($F$9)),A25*$F$9,"")</f>
        <v/>
      </c>
      <c r="C25" s="15"/>
      <c r="D25" s="16"/>
    </row>
    <row r="26" customFormat="false" ht="15" hidden="false" customHeight="false" outlineLevel="0" collapsed="false">
      <c r="A26" s="13" t="n">
        <v>0.9</v>
      </c>
      <c r="B26" s="14" t="str">
        <f aca="false">IF(AND(ISNUMBER(A26),ISNUMBER($F$9)),A26*$F$9,"")</f>
        <v/>
      </c>
      <c r="C26" s="15"/>
      <c r="D26" s="16"/>
    </row>
    <row r="27" customFormat="false" ht="33.75" hidden="false" customHeight="true" outlineLevel="0" collapsed="false">
      <c r="A27" s="18" t="s">
        <v>26</v>
      </c>
      <c r="B27" s="18"/>
      <c r="C27" s="18"/>
      <c r="D27" s="18"/>
    </row>
    <row r="29" customFormat="false" ht="18" hidden="false" customHeight="true" outlineLevel="0" collapsed="false">
      <c r="A29" s="4" t="s">
        <v>27</v>
      </c>
      <c r="B29" s="4"/>
      <c r="C29" s="4"/>
      <c r="D29" s="4"/>
      <c r="E29" s="4"/>
      <c r="F29" s="4"/>
      <c r="G29" s="4"/>
      <c r="H29" s="4"/>
    </row>
    <row r="30" customFormat="false" ht="15" hidden="false" customHeight="false" outlineLevel="0" collapsed="false">
      <c r="A30" s="5" t="s">
        <v>28</v>
      </c>
      <c r="B30" s="14" t="str">
        <f aca="false">IF(ISNUMBER(C22),C22,"")</f>
        <v/>
      </c>
    </row>
    <row r="31" customFormat="false" ht="15" hidden="false" customHeight="false" outlineLevel="0" collapsed="false">
      <c r="A31" s="5" t="s">
        <v>29</v>
      </c>
      <c r="B31" s="14" t="str">
        <f aca="false">IF(ISNUMBER(C23),C23,"")</f>
        <v/>
      </c>
    </row>
    <row r="32" customFormat="false" ht="15" hidden="false" customHeight="false" outlineLevel="0" collapsed="false">
      <c r="A32" s="5" t="s">
        <v>30</v>
      </c>
      <c r="B32" s="14" t="str">
        <f aca="false">IF(ISNUMBER(C24),C24,"")</f>
        <v/>
      </c>
    </row>
    <row r="33" customFormat="false" ht="15" hidden="false" customHeight="false" outlineLevel="0" collapsed="false">
      <c r="A33" s="5" t="s">
        <v>31</v>
      </c>
      <c r="B33" s="19" t="str">
        <f aca="false">IF(AND(COUNT(B30:B32)=3,B31&gt;0),MAX(ABS(B30-B31),ABS(B32-B31))/B31,"")</f>
        <v/>
      </c>
    </row>
    <row r="34" customFormat="false" ht="15" hidden="false" customHeight="false" outlineLevel="0" collapsed="false">
      <c r="A34" s="5" t="s">
        <v>32</v>
      </c>
      <c r="B34" s="11" t="str">
        <f aca="false">IF(B33="","",IF(B33&lt;=Reference!$B$10/100,"Valid - the three readings agree within "&amp;Reference!$B$10&amp;" %","Not valid - readings differ by more than "&amp;Reference!$B$10&amp;" %, increase D and repeat"))</f>
        <v/>
      </c>
      <c r="C34" s="11"/>
      <c r="D34" s="11"/>
      <c r="E34" s="11"/>
      <c r="F34" s="11"/>
      <c r="G34" s="11"/>
      <c r="H34" s="11"/>
    </row>
    <row r="35" customFormat="false" ht="15" hidden="false" customHeight="false" outlineLevel="0" collapsed="false">
      <c r="A35" s="5" t="s">
        <v>33</v>
      </c>
      <c r="B35" s="14" t="n">
        <f aca="false">IF(ISNUMBER(B10),B10,1)</f>
        <v>1</v>
      </c>
    </row>
    <row r="36" customFormat="false" ht="26.85" hidden="false" customHeight="false" outlineLevel="0" collapsed="false">
      <c r="A36" s="20" t="s">
        <v>34</v>
      </c>
      <c r="B36" s="21" t="str">
        <f aca="false">IF(B31="","",B31*B35)</f>
        <v/>
      </c>
    </row>
    <row r="37" customFormat="false" ht="15" hidden="false" customHeight="false" outlineLevel="0" collapsed="false">
      <c r="A37" s="5" t="s">
        <v>35</v>
      </c>
      <c r="B37" s="22" t="str">
        <f aca="false">IF(OR(B36="",NOT(ISNUMBER(F10))),"",IF(B36&lt;=F10,"PASS - "&amp;TEXT(B36,"0.00")&amp;" Ω is at or below "&amp;TEXT(F10,"0.00")&amp;" Ω","FAIL - "&amp;TEXT(B36,"0.00")&amp;" Ω is above "&amp;TEXT(F10,"0.00")&amp;" Ω"))</f>
        <v/>
      </c>
      <c r="C37" s="22"/>
      <c r="D37" s="22"/>
      <c r="E37" s="22"/>
      <c r="F37" s="22"/>
      <c r="G37" s="22"/>
      <c r="H37" s="22"/>
    </row>
    <row r="38" customFormat="false" ht="15" hidden="false" customHeight="false" outlineLevel="0" collapsed="false">
      <c r="A38" s="5" t="s">
        <v>36</v>
      </c>
      <c r="B38" s="23"/>
      <c r="C38" s="23"/>
      <c r="D38" s="23"/>
      <c r="E38" s="23"/>
      <c r="F38" s="23"/>
      <c r="G38" s="23"/>
      <c r="H38" s="23"/>
    </row>
    <row r="39" customFormat="false" ht="15" hidden="false" customHeight="false" outlineLevel="0" collapsed="false">
      <c r="B39" s="23"/>
      <c r="C39" s="23"/>
      <c r="D39" s="23"/>
      <c r="E39" s="23"/>
      <c r="F39" s="23"/>
      <c r="G39" s="23"/>
      <c r="H39" s="23"/>
    </row>
    <row r="40" customFormat="false" ht="15" hidden="false" customHeight="false" outlineLevel="0" collapsed="false">
      <c r="B40" s="23"/>
      <c r="C40" s="23"/>
      <c r="D40" s="23"/>
      <c r="E40" s="23"/>
      <c r="F40" s="23"/>
      <c r="G40" s="23"/>
      <c r="H40" s="23"/>
    </row>
    <row r="41" customFormat="false" ht="27.75" hidden="false" customHeight="true" outlineLevel="0" collapsed="false">
      <c r="A41" s="5" t="s">
        <v>37</v>
      </c>
      <c r="B41" s="6"/>
      <c r="C41" s="6"/>
      <c r="D41" s="6"/>
      <c r="E41" s="5" t="s">
        <v>38</v>
      </c>
      <c r="F41" s="6"/>
      <c r="G41" s="6"/>
      <c r="H41" s="6"/>
    </row>
  </sheetData>
  <sheetProtection sheet="true" formatColumns="false" formatRows="false"/>
  <mergeCells count="27">
    <mergeCell ref="A1:H1"/>
    <mergeCell ref="A2:H2"/>
    <mergeCell ref="A3:H3"/>
    <mergeCell ref="A5:H5"/>
    <mergeCell ref="B6:D6"/>
    <mergeCell ref="F6:H6"/>
    <mergeCell ref="B7:D7"/>
    <mergeCell ref="F7:H7"/>
    <mergeCell ref="B8:D8"/>
    <mergeCell ref="F8:H8"/>
    <mergeCell ref="B9:D9"/>
    <mergeCell ref="F9:H9"/>
    <mergeCell ref="B10:D10"/>
    <mergeCell ref="F10:H10"/>
    <mergeCell ref="B11:D11"/>
    <mergeCell ref="F11:H11"/>
    <mergeCell ref="B12:D12"/>
    <mergeCell ref="F12:H12"/>
    <mergeCell ref="C13:H13"/>
    <mergeCell ref="A15:H15"/>
    <mergeCell ref="A27:D27"/>
    <mergeCell ref="A29:H29"/>
    <mergeCell ref="B34:H34"/>
    <mergeCell ref="B37:H37"/>
    <mergeCell ref="B38:H40"/>
    <mergeCell ref="B41:D41"/>
    <mergeCell ref="F41:H41"/>
  </mergeCells>
  <conditionalFormatting sqref="C13">
    <cfRule type="expression" priority="2" aboveAverage="0" equalAverage="0" bottom="0" percent="0" rank="0" text="" dxfId="0">
      <formula>OR(ISNUMBER(SEARCH("BELOW",C13)),ISNUMBER(SEARCH("Dangerous",C13)),ISNUMBER(SEARCH("Outside",C13)),ISNUMBER(SEARCH("FAIL",C13)),ISNUMBER(SEARCH("Not OK",C13)),ISNUMBER(SEARCH("Invalid",C13)),ISNUMBER(SEARCH("Not valid",C13)))</formula>
    </cfRule>
    <cfRule type="expression" priority="3" aboveAverage="0" equalAverage="0" bottom="0" percent="0" rank="0" text="" dxfId="1">
      <formula>OR(ISNUMBER(SEARCH("REVIEW",C13)),ISNUMBER(SEARCH("INCOMPLETE",C13)),ISNUMBER(SEARCH("Questionable",C13)),ISNUMBER(SEARCH("Poor",C13)),ISNUMBER(SEARCH("Check",C13)))</formula>
    </cfRule>
    <cfRule type="expression" priority="4" aboveAverage="0" equalAverage="0" bottom="0" percent="0" rank="0" text="" dxfId="2">
      <formula>OR(ISNUMBER(SEARCH("PASS",C13)),ISNUMBER(SEARCH("Meets",C13)),ISNUMBER(SEARCH("Good",C13)),ISNUMBER(SEARCH("Excellent",C13)),ISNUMBER(SEARCH("Acceptable",C13)),ISNUMBER(SEARCH("Within",C13)),ISNUMBER(SEARCH("Valid",C13)),ISNUMBER(SEARCH("OK",C13)))</formula>
    </cfRule>
  </conditionalFormatting>
  <conditionalFormatting sqref="B34">
    <cfRule type="expression" priority="5" aboveAverage="0" equalAverage="0" bottom="0" percent="0" rank="0" text="" dxfId="0">
      <formula>OR(ISNUMBER(SEARCH("BELOW",B34)),ISNUMBER(SEARCH("Dangerous",B34)),ISNUMBER(SEARCH("Outside",B34)),ISNUMBER(SEARCH("FAIL",B34)),ISNUMBER(SEARCH("Not OK",B34)),ISNUMBER(SEARCH("Invalid",B34)),ISNUMBER(SEARCH("Not valid",B34)))</formula>
    </cfRule>
    <cfRule type="expression" priority="6" aboveAverage="0" equalAverage="0" bottom="0" percent="0" rank="0" text="" dxfId="1">
      <formula>OR(ISNUMBER(SEARCH("REVIEW",B34)),ISNUMBER(SEARCH("INCOMPLETE",B34)),ISNUMBER(SEARCH("Questionable",B34)),ISNUMBER(SEARCH("Poor",B34)),ISNUMBER(SEARCH("Check",B34)))</formula>
    </cfRule>
    <cfRule type="expression" priority="7" aboveAverage="0" equalAverage="0" bottom="0" percent="0" rank="0" text="" dxfId="2">
      <formula>OR(ISNUMBER(SEARCH("PASS",B34)),ISNUMBER(SEARCH("Meets",B34)),ISNUMBER(SEARCH("Good",B34)),ISNUMBER(SEARCH("Excellent",B34)),ISNUMBER(SEARCH("Acceptable",B34)),ISNUMBER(SEARCH("Within",B34)),ISNUMBER(SEARCH("Valid",B34)),ISNUMBER(SEARCH("OK",B34)))</formula>
    </cfRule>
  </conditionalFormatting>
  <conditionalFormatting sqref="B37">
    <cfRule type="expression" priority="8" aboveAverage="0" equalAverage="0" bottom="0" percent="0" rank="0" text="" dxfId="0">
      <formula>OR(ISNUMBER(SEARCH("BELOW",B37)),ISNUMBER(SEARCH("Dangerous",B37)),ISNUMBER(SEARCH("Outside",B37)),ISNUMBER(SEARCH("FAIL",B37)),ISNUMBER(SEARCH("Not OK",B37)),ISNUMBER(SEARCH("Invalid",B37)),ISNUMBER(SEARCH("Not valid",B37)))</formula>
    </cfRule>
    <cfRule type="expression" priority="9" aboveAverage="0" equalAverage="0" bottom="0" percent="0" rank="0" text="" dxfId="1">
      <formula>OR(ISNUMBER(SEARCH("REVIEW",B37)),ISNUMBER(SEARCH("INCOMPLETE",B37)),ISNUMBER(SEARCH("Questionable",B37)),ISNUMBER(SEARCH("Poor",B37)),ISNUMBER(SEARCH("Check",B37)))</formula>
    </cfRule>
    <cfRule type="expression" priority="10" aboveAverage="0" equalAverage="0" bottom="0" percent="0" rank="0" text="" dxfId="2">
      <formula>OR(ISNUMBER(SEARCH("PASS",B37)),ISNUMBER(SEARCH("Meets",B37)),ISNUMBER(SEARCH("Good",B37)),ISNUMBER(SEARCH("Excellent",B37)),ISNUMBER(SEARCH("Acceptable",B37)),ISNUMBER(SEARCH("Within",B37)),ISNUMBER(SEARCH("Valid",B37)),ISNUMBER(SEARCH("OK",B37)))</formula>
    </cfRule>
  </conditionalFormatting>
  <dataValidations count="6">
    <dataValidation allowBlank="true" error="Pick a value from the list" errorStyle="stop" errorTitle="Invalid entry" operator="between" showDropDown="false" showErrorMessage="false" showInputMessage="false" sqref="B8" type="list">
      <formula1>"Dry,Damp,Wet,Frozen"</formula1>
      <formula2>0</formula2>
    </dataValidation>
    <dataValidation allowBlank="true" error="Enter a number" errorStyle="stop" errorTitle="Invalid entry" operator="greaterThanOrEqual" showDropDown="false" showErrorMessage="false" showInputMessage="false" sqref="B9" type="decimal">
      <formula1>0</formula1>
      <formula2>0</formula2>
    </dataValidation>
    <dataValidation allowBlank="true" error="Enter a number" errorStyle="stop" errorTitle="Invalid entry" operator="greaterThanOrEqual" showDropDown="false" showErrorMessage="false" showInputMessage="false" sqref="F9" type="decimal">
      <formula1>0</formula1>
      <formula2>0</formula2>
    </dataValidation>
    <dataValidation allowBlank="true" error="Enter a number" errorStyle="stop" errorTitle="Invalid entry" operator="greaterThanOrEqual" showDropDown="false" showErrorMessage="false" showInputMessage="false" sqref="B10" type="decimal">
      <formula1>0</formula1>
      <formula2>0</formula2>
    </dataValidation>
    <dataValidation allowBlank="true" error="Enter a number" errorStyle="stop" errorTitle="Invalid entry" operator="greaterThanOrEqual" showDropDown="false" showErrorMessage="false" showInputMessage="false" sqref="F10" type="decimal">
      <formula1>0</formula1>
      <formula2>0</formula2>
    </dataValidation>
    <dataValidation allowBlank="true" error="Enter a number" errorStyle="stop" errorTitle="Invalid entry" operator="greaterThanOrEqual" showDropDown="false" showErrorMessage="false" showInputMessage="false" sqref="C17:C26" type="decimal">
      <formula1>0</formula1>
      <formula2>0</formula2>
    </dataValidation>
  </dataValidations>
  <printOptions headings="false" gridLines="false" gridLinesSet="true" horizontalCentered="false" verticalCentered="false"/>
  <pageMargins left="0.4" right="0.4" top="0.6" bottom="0.6"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Cambridge Instruments Engg. Co. (CIE), Howrah  |  cieinstruments.in&amp;R&amp;8 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3" min="2" style="0" width="13"/>
    <col collapsed="false" customWidth="true" hidden="false" outlineLevel="0" max="5" min="4" style="0" width="15"/>
    <col collapsed="false" customWidth="true" hidden="false" outlineLevel="0" max="8" min="6" style="0" width="13"/>
  </cols>
  <sheetData>
    <row r="1" customFormat="false" ht="30" hidden="false" customHeight="true" outlineLevel="0" collapsed="false">
      <c r="A1" s="1" t="s">
        <v>39</v>
      </c>
      <c r="B1" s="1"/>
      <c r="C1" s="1"/>
      <c r="D1" s="1"/>
      <c r="E1" s="1"/>
      <c r="F1" s="1"/>
      <c r="G1" s="1"/>
      <c r="H1" s="1"/>
    </row>
    <row r="2" customFormat="false" ht="25.5" hidden="false" customHeight="true" outlineLevel="0" collapsed="false">
      <c r="A2" s="2" t="s">
        <v>40</v>
      </c>
      <c r="B2" s="2"/>
      <c r="C2" s="2"/>
      <c r="D2" s="2"/>
      <c r="E2" s="2"/>
      <c r="F2" s="2"/>
      <c r="G2" s="2"/>
      <c r="H2" s="2"/>
    </row>
    <row r="3" customFormat="false" ht="15" hidden="false" customHeight="false" outlineLevel="0" collapsed="false">
      <c r="A3" s="3" t="s">
        <v>2</v>
      </c>
      <c r="B3" s="3"/>
      <c r="C3" s="3"/>
      <c r="D3" s="3"/>
      <c r="E3" s="3"/>
      <c r="F3" s="3"/>
      <c r="G3" s="3"/>
      <c r="H3" s="3"/>
    </row>
    <row r="5" customFormat="false" ht="18" hidden="false" customHeight="true" outlineLevel="0" collapsed="false">
      <c r="A5" s="4" t="s">
        <v>41</v>
      </c>
      <c r="B5" s="4"/>
      <c r="C5" s="4"/>
      <c r="D5" s="4"/>
      <c r="E5" s="4"/>
      <c r="F5" s="4"/>
      <c r="G5" s="4"/>
      <c r="H5" s="4"/>
    </row>
    <row r="6" customFormat="false" ht="15" hidden="false" customHeight="false" outlineLevel="0" collapsed="false">
      <c r="A6" s="5" t="s">
        <v>4</v>
      </c>
      <c r="B6" s="6"/>
      <c r="C6" s="6"/>
      <c r="D6" s="6"/>
      <c r="E6" s="5" t="s">
        <v>7</v>
      </c>
      <c r="F6" s="7"/>
      <c r="G6" s="7"/>
      <c r="H6" s="7"/>
    </row>
    <row r="7" customFormat="false" ht="23.85" hidden="false" customHeight="false" outlineLevel="0" collapsed="false">
      <c r="A7" s="5" t="s">
        <v>42</v>
      </c>
      <c r="B7" s="6"/>
      <c r="C7" s="6"/>
      <c r="D7" s="6"/>
      <c r="E7" s="5" t="s">
        <v>43</v>
      </c>
      <c r="F7" s="6"/>
      <c r="G7" s="6"/>
      <c r="H7" s="6"/>
    </row>
    <row r="8" customFormat="false" ht="15" hidden="false" customHeight="true" outlineLevel="0" collapsed="false">
      <c r="A8" s="5" t="s">
        <v>44</v>
      </c>
      <c r="B8" s="24"/>
      <c r="C8" s="18" t="s">
        <v>45</v>
      </c>
      <c r="D8" s="18"/>
      <c r="E8" s="18"/>
      <c r="F8" s="18"/>
      <c r="G8" s="18"/>
      <c r="H8" s="18"/>
    </row>
    <row r="10" customFormat="false" ht="18" hidden="false" customHeight="true" outlineLevel="0" collapsed="false">
      <c r="A10" s="4" t="s">
        <v>46</v>
      </c>
      <c r="B10" s="4"/>
      <c r="C10" s="4"/>
      <c r="D10" s="4"/>
      <c r="E10" s="4"/>
      <c r="F10" s="4"/>
      <c r="G10" s="4"/>
      <c r="H10" s="4"/>
    </row>
    <row r="11" customFormat="false" ht="42" hidden="false" customHeight="true" outlineLevel="0" collapsed="false">
      <c r="A11" s="12" t="s">
        <v>47</v>
      </c>
      <c r="B11" s="12" t="s">
        <v>22</v>
      </c>
      <c r="C11" s="12" t="s">
        <v>48</v>
      </c>
      <c r="D11" s="12" t="s">
        <v>49</v>
      </c>
      <c r="E11" s="12" t="s">
        <v>50</v>
      </c>
      <c r="F11" s="12" t="s">
        <v>51</v>
      </c>
    </row>
    <row r="12" customFormat="false" ht="15" hidden="false" customHeight="false" outlineLevel="0" collapsed="false">
      <c r="A12" s="25"/>
      <c r="B12" s="24"/>
      <c r="C12" s="26" t="str">
        <f aca="false">IF(AND(ISNUMBER(A12),A12&gt;0,ISNUMBER($B$8)),$B$8/A12,"")</f>
        <v/>
      </c>
      <c r="D12" s="27" t="str">
        <f aca="false">IF(AND(ISNUMBER(A12),ISNUMBER(B12),ISNUMBER($B$8),A12&gt;0),4*PI()*A12*B12/(1+2*A12/SQRT(A12^2+4*$B$8^2)-A12/SQRT(A12^2+$B$8^2)),"")</f>
        <v/>
      </c>
      <c r="E12" s="27" t="str">
        <f aca="false">IF(AND(ISNUMBER(A12),ISNUMBER(B12),A12&gt;0),2*PI()*A12*B12,"")</f>
        <v/>
      </c>
      <c r="F12" s="19" t="str">
        <f aca="false">IF(OR(D12="",E12=""),"",E12/D12-1)</f>
        <v/>
      </c>
    </row>
    <row r="13" customFormat="false" ht="15" hidden="false" customHeight="false" outlineLevel="0" collapsed="false">
      <c r="A13" s="25"/>
      <c r="B13" s="24"/>
      <c r="C13" s="26" t="str">
        <f aca="false">IF(AND(ISNUMBER(A13),A13&gt;0,ISNUMBER($B$8)),$B$8/A13,"")</f>
        <v/>
      </c>
      <c r="D13" s="27" t="str">
        <f aca="false">IF(AND(ISNUMBER(A13),ISNUMBER(B13),ISNUMBER($B$8),A13&gt;0),4*PI()*A13*B13/(1+2*A13/SQRT(A13^2+4*$B$8^2)-A13/SQRT(A13^2+$B$8^2)),"")</f>
        <v/>
      </c>
      <c r="E13" s="27" t="str">
        <f aca="false">IF(AND(ISNUMBER(A13),ISNUMBER(B13),A13&gt;0),2*PI()*A13*B13,"")</f>
        <v/>
      </c>
      <c r="F13" s="19" t="str">
        <f aca="false">IF(OR(D13="",E13=""),"",E13/D13-1)</f>
        <v/>
      </c>
    </row>
    <row r="14" customFormat="false" ht="15" hidden="false" customHeight="false" outlineLevel="0" collapsed="false">
      <c r="A14" s="25"/>
      <c r="B14" s="24"/>
      <c r="C14" s="26" t="str">
        <f aca="false">IF(AND(ISNUMBER(A14),A14&gt;0,ISNUMBER($B$8)),$B$8/A14,"")</f>
        <v/>
      </c>
      <c r="D14" s="27" t="str">
        <f aca="false">IF(AND(ISNUMBER(A14),ISNUMBER(B14),ISNUMBER($B$8),A14&gt;0),4*PI()*A14*B14/(1+2*A14/SQRT(A14^2+4*$B$8^2)-A14/SQRT(A14^2+$B$8^2)),"")</f>
        <v/>
      </c>
      <c r="E14" s="27" t="str">
        <f aca="false">IF(AND(ISNUMBER(A14),ISNUMBER(B14),A14&gt;0),2*PI()*A14*B14,"")</f>
        <v/>
      </c>
      <c r="F14" s="19" t="str">
        <f aca="false">IF(OR(D14="",E14=""),"",E14/D14-1)</f>
        <v/>
      </c>
    </row>
    <row r="15" customFormat="false" ht="15" hidden="false" customHeight="false" outlineLevel="0" collapsed="false">
      <c r="A15" s="25"/>
      <c r="B15" s="24"/>
      <c r="C15" s="26" t="str">
        <f aca="false">IF(AND(ISNUMBER(A15),A15&gt;0,ISNUMBER($B$8)),$B$8/A15,"")</f>
        <v/>
      </c>
      <c r="D15" s="27" t="str">
        <f aca="false">IF(AND(ISNUMBER(A15),ISNUMBER(B15),ISNUMBER($B$8),A15&gt;0),4*PI()*A15*B15/(1+2*A15/SQRT(A15^2+4*$B$8^2)-A15/SQRT(A15^2+$B$8^2)),"")</f>
        <v/>
      </c>
      <c r="E15" s="27" t="str">
        <f aca="false">IF(AND(ISNUMBER(A15),ISNUMBER(B15),A15&gt;0),2*PI()*A15*B15,"")</f>
        <v/>
      </c>
      <c r="F15" s="19" t="str">
        <f aca="false">IF(OR(D15="",E15=""),"",E15/D15-1)</f>
        <v/>
      </c>
    </row>
    <row r="16" customFormat="false" ht="15" hidden="false" customHeight="false" outlineLevel="0" collapsed="false">
      <c r="A16" s="25"/>
      <c r="B16" s="24"/>
      <c r="C16" s="26" t="str">
        <f aca="false">IF(AND(ISNUMBER(A16),A16&gt;0,ISNUMBER($B$8)),$B$8/A16,"")</f>
        <v/>
      </c>
      <c r="D16" s="27" t="str">
        <f aca="false">IF(AND(ISNUMBER(A16),ISNUMBER(B16),ISNUMBER($B$8),A16&gt;0),4*PI()*A16*B16/(1+2*A16/SQRT(A16^2+4*$B$8^2)-A16/SQRT(A16^2+$B$8^2)),"")</f>
        <v/>
      </c>
      <c r="E16" s="27" t="str">
        <f aca="false">IF(AND(ISNUMBER(A16),ISNUMBER(B16),A16&gt;0),2*PI()*A16*B16,"")</f>
        <v/>
      </c>
      <c r="F16" s="19" t="str">
        <f aca="false">IF(OR(D16="",E16=""),"",E16/D16-1)</f>
        <v/>
      </c>
    </row>
    <row r="17" customFormat="false" ht="15" hidden="false" customHeight="false" outlineLevel="0" collapsed="false">
      <c r="A17" s="25"/>
      <c r="B17" s="24"/>
      <c r="C17" s="26" t="str">
        <f aca="false">IF(AND(ISNUMBER(A17),A17&gt;0,ISNUMBER($B$8)),$B$8/A17,"")</f>
        <v/>
      </c>
      <c r="D17" s="27" t="str">
        <f aca="false">IF(AND(ISNUMBER(A17),ISNUMBER(B17),ISNUMBER($B$8),A17&gt;0),4*PI()*A17*B17/(1+2*A17/SQRT(A17^2+4*$B$8^2)-A17/SQRT(A17^2+$B$8^2)),"")</f>
        <v/>
      </c>
      <c r="E17" s="27" t="str">
        <f aca="false">IF(AND(ISNUMBER(A17),ISNUMBER(B17),A17&gt;0),2*PI()*A17*B17,"")</f>
        <v/>
      </c>
      <c r="F17" s="19" t="str">
        <f aca="false">IF(OR(D17="",E17=""),"",E17/D17-1)</f>
        <v/>
      </c>
    </row>
    <row r="18" customFormat="false" ht="15" hidden="false" customHeight="false" outlineLevel="0" collapsed="false">
      <c r="A18" s="25"/>
      <c r="B18" s="24"/>
      <c r="C18" s="26" t="str">
        <f aca="false">IF(AND(ISNUMBER(A18),A18&gt;0,ISNUMBER($B$8)),$B$8/A18,"")</f>
        <v/>
      </c>
      <c r="D18" s="27" t="str">
        <f aca="false">IF(AND(ISNUMBER(A18),ISNUMBER(B18),ISNUMBER($B$8),A18&gt;0),4*PI()*A18*B18/(1+2*A18/SQRT(A18^2+4*$B$8^2)-A18/SQRT(A18^2+$B$8^2)),"")</f>
        <v/>
      </c>
      <c r="E18" s="27" t="str">
        <f aca="false">IF(AND(ISNUMBER(A18),ISNUMBER(B18),A18&gt;0),2*PI()*A18*B18,"")</f>
        <v/>
      </c>
      <c r="F18" s="19" t="str">
        <f aca="false">IF(OR(D18="",E18=""),"",E18/D18-1)</f>
        <v/>
      </c>
    </row>
    <row r="19" customFormat="false" ht="15" hidden="false" customHeight="false" outlineLevel="0" collapsed="false">
      <c r="A19" s="25"/>
      <c r="B19" s="24"/>
      <c r="C19" s="26" t="str">
        <f aca="false">IF(AND(ISNUMBER(A19),A19&gt;0,ISNUMBER($B$8)),$B$8/A19,"")</f>
        <v/>
      </c>
      <c r="D19" s="27" t="str">
        <f aca="false">IF(AND(ISNUMBER(A19),ISNUMBER(B19),ISNUMBER($B$8),A19&gt;0),4*PI()*A19*B19/(1+2*A19/SQRT(A19^2+4*$B$8^2)-A19/SQRT(A19^2+$B$8^2)),"")</f>
        <v/>
      </c>
      <c r="E19" s="27" t="str">
        <f aca="false">IF(AND(ISNUMBER(A19),ISNUMBER(B19),A19&gt;0),2*PI()*A19*B19,"")</f>
        <v/>
      </c>
      <c r="F19" s="19" t="str">
        <f aca="false">IF(OR(D19="",E19=""),"",E19/D19-1)</f>
        <v/>
      </c>
    </row>
    <row r="20" customFormat="false" ht="30" hidden="false" customHeight="true" outlineLevel="0" collapsed="false">
      <c r="A20" s="5" t="s">
        <v>52</v>
      </c>
      <c r="B20" s="27" t="str">
        <f aca="false">IF(COUNT(D12:D19)=0,"",AVERAGE(D12:D19))</f>
        <v/>
      </c>
      <c r="D20" s="18" t="s">
        <v>53</v>
      </c>
      <c r="E20" s="18"/>
      <c r="F20" s="18"/>
      <c r="G20" s="18"/>
      <c r="H20" s="18"/>
    </row>
    <row r="21" customFormat="false" ht="15" hidden="false" customHeight="false" outlineLevel="0" collapsed="false">
      <c r="A21" s="5" t="s">
        <v>54</v>
      </c>
      <c r="B21" s="27" t="str">
        <f aca="false">IF(COUNT(D12:D19)=0,"",MIN(D12:D19))</f>
        <v/>
      </c>
      <c r="C21" s="27" t="str">
        <f aca="false">IF(COUNT(D12:D19)=0,"",MAX(D12:D19))</f>
        <v/>
      </c>
      <c r="D21" s="18"/>
      <c r="E21" s="18"/>
      <c r="F21" s="18"/>
      <c r="G21" s="18"/>
      <c r="H21" s="18"/>
    </row>
    <row r="22" customFormat="false" ht="15" hidden="false" customHeight="false" outlineLevel="0" collapsed="false">
      <c r="A22" s="5" t="s">
        <v>55</v>
      </c>
      <c r="B22" s="14" t="str">
        <f aca="false">IF(COUNT(D12:D19)&lt;2,"",MAX(D12:D19)/MIN(D12:D19))</f>
        <v/>
      </c>
      <c r="D22" s="18"/>
      <c r="E22" s="18"/>
      <c r="F22" s="18"/>
      <c r="G22" s="18"/>
      <c r="H22" s="18"/>
    </row>
    <row r="24" customFormat="false" ht="18" hidden="false" customHeight="true" outlineLevel="0" collapsed="false">
      <c r="A24" s="4" t="s">
        <v>56</v>
      </c>
      <c r="B24" s="4"/>
      <c r="C24" s="4"/>
      <c r="D24" s="4"/>
      <c r="E24" s="4"/>
      <c r="F24" s="4"/>
      <c r="G24" s="4"/>
      <c r="H24" s="4"/>
    </row>
    <row r="25" customFormat="false" ht="15" hidden="false" customHeight="true" outlineLevel="0" collapsed="false">
      <c r="A25" s="5" t="s">
        <v>57</v>
      </c>
      <c r="B25" s="28"/>
      <c r="C25" s="18" t="s">
        <v>58</v>
      </c>
      <c r="D25" s="18"/>
      <c r="E25" s="18"/>
      <c r="F25" s="18"/>
      <c r="G25" s="18"/>
      <c r="H25" s="18"/>
    </row>
    <row r="26" customFormat="false" ht="15" hidden="false" customHeight="false" outlineLevel="0" collapsed="false">
      <c r="A26" s="5" t="s">
        <v>59</v>
      </c>
      <c r="B26" s="27" t="str">
        <f aca="false">IF(ISNUMBER(B25),B25,IF(B20="","",B20))</f>
        <v/>
      </c>
    </row>
    <row r="27" customFormat="false" ht="15" hidden="false" customHeight="false" outlineLevel="0" collapsed="false">
      <c r="A27" s="5" t="s">
        <v>60</v>
      </c>
      <c r="B27" s="15"/>
    </row>
    <row r="28" customFormat="false" ht="15" hidden="false" customHeight="false" outlineLevel="0" collapsed="false">
      <c r="A28" s="5" t="s">
        <v>61</v>
      </c>
      <c r="B28" s="29"/>
    </row>
    <row r="29" customFormat="false" ht="15" hidden="false" customHeight="false" outlineLevel="0" collapsed="false">
      <c r="A29" s="20" t="s">
        <v>62</v>
      </c>
      <c r="B29" s="30" t="str">
        <f aca="false">IF(AND(ISNUMBER(B26),ISNUMBER(B27),ISNUMBER(B28),B27&gt;0,B28&gt;0),B26/(2*PI()*B27)*(LN(4*B27/(B28/2000))-1),"")</f>
        <v/>
      </c>
    </row>
    <row r="30" customFormat="false" ht="15" hidden="false" customHeight="true" outlineLevel="0" collapsed="false">
      <c r="A30" s="5" t="s">
        <v>63</v>
      </c>
      <c r="B30" s="31" t="str">
        <f aca="false">IF(ISNUMBER('Earth Electrode Test'!B36),'Earth Electrode Test'!B36,"")</f>
        <v/>
      </c>
      <c r="C30" s="18" t="s">
        <v>64</v>
      </c>
      <c r="D30" s="18"/>
      <c r="E30" s="18"/>
      <c r="F30" s="18"/>
      <c r="G30" s="18"/>
      <c r="H30" s="18"/>
    </row>
    <row r="31" customFormat="false" ht="15" hidden="false" customHeight="false" outlineLevel="0" collapsed="false">
      <c r="A31" s="5" t="s">
        <v>65</v>
      </c>
      <c r="B31" s="32" t="str">
        <f aca="false">IF(OR(B29="",B30=""),"",B30/B29-1)</f>
        <v/>
      </c>
    </row>
    <row r="32" customFormat="false" ht="33.75" hidden="false" customHeight="true" outlineLevel="0" collapsed="false">
      <c r="A32" s="18" t="s">
        <v>66</v>
      </c>
      <c r="B32" s="18"/>
      <c r="C32" s="18"/>
      <c r="D32" s="18"/>
      <c r="E32" s="18"/>
      <c r="F32" s="18"/>
      <c r="G32" s="18"/>
      <c r="H32" s="18"/>
    </row>
  </sheetData>
  <sheetProtection sheet="true" formatColumns="false" formatRows="false"/>
  <mergeCells count="15">
    <mergeCell ref="A1:H1"/>
    <mergeCell ref="A2:H2"/>
    <mergeCell ref="A3:H3"/>
    <mergeCell ref="A5:H5"/>
    <mergeCell ref="B6:D6"/>
    <mergeCell ref="F6:H6"/>
    <mergeCell ref="B7:D7"/>
    <mergeCell ref="F7:H7"/>
    <mergeCell ref="C8:H8"/>
    <mergeCell ref="A10:H10"/>
    <mergeCell ref="D20:H22"/>
    <mergeCell ref="A24:H24"/>
    <mergeCell ref="C25:H25"/>
    <mergeCell ref="C30:H30"/>
    <mergeCell ref="A32:H32"/>
  </mergeCells>
  <dataValidations count="5">
    <dataValidation allowBlank="true" error="Enter a number" errorStyle="stop" errorTitle="Invalid entry" operator="greaterThanOrEqual" showDropDown="false" showErrorMessage="false" showInputMessage="false" sqref="B8" type="decimal">
      <formula1>0</formula1>
      <formula2>0</formula2>
    </dataValidation>
    <dataValidation allowBlank="true" error="Enter a number" errorStyle="stop" errorTitle="Invalid entry" operator="greaterThanOrEqual" showDropDown="false" showErrorMessage="false" showInputMessage="false" sqref="A12:B19" type="decimal">
      <formula1>0</formula1>
      <formula2>0</formula2>
    </dataValidation>
    <dataValidation allowBlank="true" error="Enter a number" errorStyle="stop" errorTitle="Invalid entry" operator="greaterThanOrEqual" showDropDown="false" showErrorMessage="false" showInputMessage="false" sqref="B25" type="decimal">
      <formula1>0</formula1>
      <formula2>0</formula2>
    </dataValidation>
    <dataValidation allowBlank="true" error="Enter a number" errorStyle="stop" errorTitle="Invalid entry" operator="greaterThanOrEqual" showDropDown="false" showErrorMessage="false" showInputMessage="false" sqref="B27" type="decimal">
      <formula1>0</formula1>
      <formula2>0</formula2>
    </dataValidation>
    <dataValidation allowBlank="true" error="Enter a number" errorStyle="stop" errorTitle="Invalid entry" operator="greaterThanOrEqual" showDropDown="false" showErrorMessage="false" showInputMessage="false" sqref="B28" type="decimal">
      <formula1>0</formula1>
      <formula2>0</formula2>
    </dataValidation>
  </dataValidations>
  <printOptions headings="false" gridLines="false" gridLinesSet="true" horizontalCentered="false" verticalCentered="false"/>
  <pageMargins left="0.4" right="0.4" top="0.6" bottom="0.6"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Cambridge Instruments Engg. Co. (CIE), Howrah  |  cieinstruments.in&amp;R&amp;8 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4" min="2" style="0" width="13"/>
    <col collapsed="false" customWidth="true" hidden="false" outlineLevel="0" max="5" min="5" style="0" width="22"/>
    <col collapsed="false" customWidth="true" hidden="false" outlineLevel="0" max="8" min="6" style="0" width="13"/>
  </cols>
  <sheetData>
    <row r="1" customFormat="false" ht="30" hidden="false" customHeight="true" outlineLevel="0" collapsed="false">
      <c r="A1" s="1" t="s">
        <v>0</v>
      </c>
      <c r="B1" s="1"/>
      <c r="C1" s="1"/>
      <c r="D1" s="1"/>
      <c r="E1" s="1"/>
      <c r="F1" s="1"/>
      <c r="G1" s="1"/>
      <c r="H1" s="1"/>
    </row>
    <row r="2" customFormat="false" ht="25.5" hidden="false" customHeight="true" outlineLevel="0" collapsed="false">
      <c r="A2" s="2" t="s">
        <v>1</v>
      </c>
      <c r="B2" s="2"/>
      <c r="C2" s="2"/>
      <c r="D2" s="2"/>
      <c r="E2" s="2"/>
      <c r="F2" s="2"/>
      <c r="G2" s="2"/>
      <c r="H2" s="2"/>
    </row>
    <row r="3" customFormat="false" ht="15" hidden="false" customHeight="false" outlineLevel="0" collapsed="false">
      <c r="A3" s="33" t="s">
        <v>67</v>
      </c>
      <c r="B3" s="33"/>
      <c r="C3" s="33"/>
      <c r="D3" s="33"/>
      <c r="E3" s="33"/>
      <c r="F3" s="33"/>
      <c r="G3" s="33"/>
      <c r="H3" s="33"/>
    </row>
    <row r="5" customFormat="false" ht="18" hidden="false" customHeight="true" outlineLevel="0" collapsed="false">
      <c r="A5" s="4" t="s">
        <v>3</v>
      </c>
      <c r="B5" s="4"/>
      <c r="C5" s="4"/>
      <c r="D5" s="4"/>
      <c r="E5" s="4"/>
      <c r="F5" s="4"/>
      <c r="G5" s="4"/>
      <c r="H5" s="4"/>
    </row>
    <row r="6" customFormat="false" ht="15" hidden="false" customHeight="true" outlineLevel="0" collapsed="false">
      <c r="A6" s="5" t="s">
        <v>4</v>
      </c>
      <c r="B6" s="6" t="s">
        <v>68</v>
      </c>
      <c r="C6" s="6"/>
      <c r="D6" s="6"/>
      <c r="E6" s="5" t="s">
        <v>5</v>
      </c>
      <c r="F6" s="6" t="s">
        <v>69</v>
      </c>
      <c r="G6" s="6"/>
      <c r="H6" s="6"/>
    </row>
    <row r="7" customFormat="false" ht="15" hidden="false" customHeight="true" outlineLevel="0" collapsed="false">
      <c r="A7" s="5" t="s">
        <v>6</v>
      </c>
      <c r="B7" s="6" t="s">
        <v>70</v>
      </c>
      <c r="C7" s="6"/>
      <c r="D7" s="6"/>
      <c r="E7" s="5" t="s">
        <v>7</v>
      </c>
      <c r="F7" s="7" t="n">
        <v>46313</v>
      </c>
      <c r="G7" s="7"/>
      <c r="H7" s="7"/>
    </row>
    <row r="8" customFormat="false" ht="23.85" hidden="false" customHeight="true" outlineLevel="0" collapsed="false">
      <c r="A8" s="5" t="s">
        <v>8</v>
      </c>
      <c r="B8" s="6" t="s">
        <v>71</v>
      </c>
      <c r="C8" s="6"/>
      <c r="D8" s="6"/>
      <c r="E8" s="5" t="s">
        <v>9</v>
      </c>
      <c r="F8" s="6" t="s">
        <v>72</v>
      </c>
      <c r="G8" s="6"/>
      <c r="H8" s="6"/>
    </row>
    <row r="9" customFormat="false" ht="35.05" hidden="false" customHeight="false" outlineLevel="0" collapsed="false">
      <c r="A9" s="5" t="s">
        <v>10</v>
      </c>
      <c r="B9" s="8" t="n">
        <v>3</v>
      </c>
      <c r="C9" s="8"/>
      <c r="D9" s="8"/>
      <c r="E9" s="5" t="s">
        <v>11</v>
      </c>
      <c r="F9" s="8" t="n">
        <v>40</v>
      </c>
      <c r="G9" s="8"/>
      <c r="H9" s="8"/>
    </row>
    <row r="10" customFormat="false" ht="23.85" hidden="false" customHeight="false" outlineLevel="0" collapsed="false">
      <c r="A10" s="5" t="s">
        <v>12</v>
      </c>
      <c r="B10" s="9" t="n">
        <v>1</v>
      </c>
      <c r="C10" s="9"/>
      <c r="D10" s="9"/>
      <c r="E10" s="5" t="s">
        <v>13</v>
      </c>
      <c r="F10" s="9" t="n">
        <v>5</v>
      </c>
      <c r="G10" s="9"/>
      <c r="H10" s="9"/>
    </row>
    <row r="11" customFormat="false" ht="23.85" hidden="false" customHeight="true" outlineLevel="0" collapsed="false">
      <c r="A11" s="5" t="s">
        <v>14</v>
      </c>
      <c r="B11" s="6" t="s">
        <v>73</v>
      </c>
      <c r="C11" s="6"/>
      <c r="D11" s="6"/>
      <c r="E11" s="5" t="s">
        <v>15</v>
      </c>
      <c r="F11" s="6" t="s">
        <v>74</v>
      </c>
      <c r="G11" s="6"/>
      <c r="H11" s="6"/>
    </row>
    <row r="12" customFormat="false" ht="23.85" hidden="false" customHeight="true" outlineLevel="0" collapsed="false">
      <c r="A12" s="5" t="s">
        <v>16</v>
      </c>
      <c r="B12" s="6" t="s">
        <v>75</v>
      </c>
      <c r="C12" s="6"/>
      <c r="D12" s="6"/>
      <c r="E12" s="5" t="s">
        <v>17</v>
      </c>
      <c r="F12" s="6" t="s">
        <v>76</v>
      </c>
      <c r="G12" s="6"/>
      <c r="H12" s="6"/>
    </row>
    <row r="13" customFormat="false" ht="23.85" hidden="false" customHeight="false" outlineLevel="0" collapsed="false">
      <c r="A13" s="5" t="s">
        <v>18</v>
      </c>
      <c r="B13" s="10" t="n">
        <f aca="false">IF(ISNUMBER(B9),B9*Reference!$B$11,"")</f>
        <v>15</v>
      </c>
      <c r="C13" s="11" t="str">
        <f aca="false">IF(OR(B13="",NOT(ISNUMBER(F9))),"",IF(F9&gt;=B13,"Valid - D is at least "&amp;Reference!$B$11&amp;" x L","Check - D is below "&amp;Reference!$B$11&amp;" x L, move C farther out"))</f>
        <v>Valid - D is at least 5 x L</v>
      </c>
      <c r="D13" s="11"/>
      <c r="E13" s="11"/>
      <c r="F13" s="11"/>
      <c r="G13" s="11"/>
      <c r="H13" s="11"/>
    </row>
    <row r="15" customFormat="false" ht="18" hidden="false" customHeight="true" outlineLevel="0" collapsed="false">
      <c r="A15" s="4" t="s">
        <v>19</v>
      </c>
      <c r="B15" s="4"/>
      <c r="C15" s="4"/>
      <c r="D15" s="4"/>
      <c r="E15" s="4"/>
      <c r="F15" s="4"/>
      <c r="G15" s="4"/>
      <c r="H15" s="4"/>
    </row>
    <row r="16" customFormat="false" ht="30" hidden="false" customHeight="true" outlineLevel="0" collapsed="false">
      <c r="A16" s="12" t="s">
        <v>20</v>
      </c>
      <c r="B16" s="12" t="s">
        <v>21</v>
      </c>
      <c r="C16" s="12" t="s">
        <v>22</v>
      </c>
      <c r="D16" s="12" t="s">
        <v>23</v>
      </c>
    </row>
    <row r="17" customFormat="false" ht="15" hidden="false" customHeight="false" outlineLevel="0" collapsed="false">
      <c r="A17" s="13" t="n">
        <v>0.1</v>
      </c>
      <c r="B17" s="14" t="n">
        <f aca="false">IF(AND(ISNUMBER(A17),ISNUMBER($F$9)),A17*$F$9,"")</f>
        <v>4</v>
      </c>
      <c r="C17" s="15" t="n">
        <v>12</v>
      </c>
      <c r="D17" s="16"/>
    </row>
    <row r="18" customFormat="false" ht="15" hidden="false" customHeight="false" outlineLevel="0" collapsed="false">
      <c r="A18" s="13" t="n">
        <v>0.2</v>
      </c>
      <c r="B18" s="14" t="n">
        <f aca="false">IF(AND(ISNUMBER(A18),ISNUMBER($F$9)),A18*$F$9,"")</f>
        <v>8</v>
      </c>
      <c r="C18" s="15" t="n">
        <v>15.5</v>
      </c>
      <c r="D18" s="16"/>
    </row>
    <row r="19" customFormat="false" ht="15" hidden="false" customHeight="false" outlineLevel="0" collapsed="false">
      <c r="A19" s="13" t="n">
        <v>0.3</v>
      </c>
      <c r="B19" s="14" t="n">
        <f aca="false">IF(AND(ISNUMBER(A19),ISNUMBER($F$9)),A19*$F$9,"")</f>
        <v>12</v>
      </c>
      <c r="C19" s="15" t="n">
        <v>17.6</v>
      </c>
      <c r="D19" s="16"/>
    </row>
    <row r="20" customFormat="false" ht="15" hidden="false" customHeight="false" outlineLevel="0" collapsed="false">
      <c r="A20" s="13" t="n">
        <v>0.4</v>
      </c>
      <c r="B20" s="14" t="n">
        <f aca="false">IF(AND(ISNUMBER(A20),ISNUMBER($F$9)),A20*$F$9,"")</f>
        <v>16</v>
      </c>
      <c r="C20" s="15" t="n">
        <v>18.8</v>
      </c>
      <c r="D20" s="16"/>
    </row>
    <row r="21" customFormat="false" ht="15" hidden="false" customHeight="false" outlineLevel="0" collapsed="false">
      <c r="A21" s="13" t="n">
        <v>0.5</v>
      </c>
      <c r="B21" s="14" t="n">
        <f aca="false">IF(AND(ISNUMBER(A21),ISNUMBER($F$9)),A21*$F$9,"")</f>
        <v>20</v>
      </c>
      <c r="C21" s="15" t="n">
        <v>19.5</v>
      </c>
      <c r="D21" s="16"/>
    </row>
    <row r="22" customFormat="false" ht="15" hidden="false" customHeight="false" outlineLevel="0" collapsed="false">
      <c r="A22" s="17" t="n">
        <f aca="false">Reference!$B$7</f>
        <v>0.52</v>
      </c>
      <c r="B22" s="14" t="n">
        <f aca="false">IF(AND(ISNUMBER(A22),ISNUMBER($F$9)),A22*$F$9,"")</f>
        <v>20.8</v>
      </c>
      <c r="C22" s="15" t="n">
        <v>19.6</v>
      </c>
      <c r="D22" s="16" t="s">
        <v>24</v>
      </c>
    </row>
    <row r="23" customFormat="false" ht="15" hidden="false" customHeight="false" outlineLevel="0" collapsed="false">
      <c r="A23" s="17" t="n">
        <f aca="false">Reference!$B$8</f>
        <v>0.62</v>
      </c>
      <c r="B23" s="14" t="n">
        <f aca="false">IF(AND(ISNUMBER(A23),ISNUMBER($F$9)),A23*$F$9,"")</f>
        <v>24.8</v>
      </c>
      <c r="C23" s="15" t="n">
        <v>19.8</v>
      </c>
      <c r="D23" s="16" t="s">
        <v>25</v>
      </c>
    </row>
    <row r="24" customFormat="false" ht="15" hidden="false" customHeight="false" outlineLevel="0" collapsed="false">
      <c r="A24" s="17" t="n">
        <f aca="false">Reference!$B$9</f>
        <v>0.72</v>
      </c>
      <c r="B24" s="14" t="n">
        <f aca="false">IF(AND(ISNUMBER(A24),ISNUMBER($F$9)),A24*$F$9,"")</f>
        <v>28.8</v>
      </c>
      <c r="C24" s="15" t="n">
        <v>20.1</v>
      </c>
      <c r="D24" s="16" t="s">
        <v>24</v>
      </c>
    </row>
    <row r="25" customFormat="false" ht="15" hidden="false" customHeight="false" outlineLevel="0" collapsed="false">
      <c r="A25" s="13" t="n">
        <v>0.8</v>
      </c>
      <c r="B25" s="14" t="n">
        <f aca="false">IF(AND(ISNUMBER(A25),ISNUMBER($F$9)),A25*$F$9,"")</f>
        <v>32</v>
      </c>
      <c r="C25" s="15" t="n">
        <v>21.5</v>
      </c>
      <c r="D25" s="16"/>
    </row>
    <row r="26" customFormat="false" ht="15" hidden="false" customHeight="false" outlineLevel="0" collapsed="false">
      <c r="A26" s="13" t="n">
        <v>0.9</v>
      </c>
      <c r="B26" s="14" t="n">
        <f aca="false">IF(AND(ISNUMBER(A26),ISNUMBER($F$9)),A26*$F$9,"")</f>
        <v>36</v>
      </c>
      <c r="C26" s="15" t="n">
        <v>27</v>
      </c>
      <c r="D26" s="16"/>
    </row>
    <row r="27" customFormat="false" ht="33.75" hidden="false" customHeight="true" outlineLevel="0" collapsed="false">
      <c r="A27" s="18" t="s">
        <v>26</v>
      </c>
      <c r="B27" s="18"/>
      <c r="C27" s="18"/>
      <c r="D27" s="18"/>
    </row>
    <row r="29" customFormat="false" ht="18" hidden="false" customHeight="true" outlineLevel="0" collapsed="false">
      <c r="A29" s="4" t="s">
        <v>27</v>
      </c>
      <c r="B29" s="4"/>
      <c r="C29" s="4"/>
      <c r="D29" s="4"/>
      <c r="E29" s="4"/>
      <c r="F29" s="4"/>
      <c r="G29" s="4"/>
      <c r="H29" s="4"/>
    </row>
    <row r="30" customFormat="false" ht="15" hidden="false" customHeight="false" outlineLevel="0" collapsed="false">
      <c r="A30" s="5" t="s">
        <v>28</v>
      </c>
      <c r="B30" s="14" t="n">
        <f aca="false">IF(ISNUMBER(C22),C22,"")</f>
        <v>19.6</v>
      </c>
    </row>
    <row r="31" customFormat="false" ht="15" hidden="false" customHeight="false" outlineLevel="0" collapsed="false">
      <c r="A31" s="5" t="s">
        <v>29</v>
      </c>
      <c r="B31" s="14" t="n">
        <f aca="false">IF(ISNUMBER(C23),C23,"")</f>
        <v>19.8</v>
      </c>
    </row>
    <row r="32" customFormat="false" ht="15" hidden="false" customHeight="false" outlineLevel="0" collapsed="false">
      <c r="A32" s="5" t="s">
        <v>30</v>
      </c>
      <c r="B32" s="14" t="n">
        <f aca="false">IF(ISNUMBER(C24),C24,"")</f>
        <v>20.1</v>
      </c>
    </row>
    <row r="33" customFormat="false" ht="15" hidden="false" customHeight="false" outlineLevel="0" collapsed="false">
      <c r="A33" s="5" t="s">
        <v>31</v>
      </c>
      <c r="B33" s="19" t="n">
        <f aca="false">IF(AND(COUNT(B30:B32)=3,B31&gt;0),MAX(ABS(B30-B31),ABS(B32-B31))/B31,"")</f>
        <v>0.0151515151515152</v>
      </c>
    </row>
    <row r="34" customFormat="false" ht="15" hidden="false" customHeight="false" outlineLevel="0" collapsed="false">
      <c r="A34" s="5" t="s">
        <v>32</v>
      </c>
      <c r="B34" s="11" t="str">
        <f aca="false">IF(B33="","",IF(B33&lt;=Reference!$B$10/100,"Valid - the three readings agree within "&amp;Reference!$B$10&amp;" %","Not valid - readings differ by more than "&amp;Reference!$B$10&amp;" %, increase D and repeat"))</f>
        <v>Valid - the three readings agree within 5 %</v>
      </c>
      <c r="C34" s="11"/>
      <c r="D34" s="11"/>
      <c r="E34" s="11"/>
      <c r="F34" s="11"/>
      <c r="G34" s="11"/>
      <c r="H34" s="11"/>
    </row>
    <row r="35" customFormat="false" ht="15" hidden="false" customHeight="false" outlineLevel="0" collapsed="false">
      <c r="A35" s="5" t="s">
        <v>33</v>
      </c>
      <c r="B35" s="14" t="n">
        <f aca="false">IF(ISNUMBER(B10),B10,1)</f>
        <v>1</v>
      </c>
    </row>
    <row r="36" customFormat="false" ht="26.85" hidden="false" customHeight="false" outlineLevel="0" collapsed="false">
      <c r="A36" s="20" t="s">
        <v>34</v>
      </c>
      <c r="B36" s="21" t="n">
        <f aca="false">IF(B31="","",B31*B35)</f>
        <v>19.8</v>
      </c>
    </row>
    <row r="37" customFormat="false" ht="15" hidden="false" customHeight="false" outlineLevel="0" collapsed="false">
      <c r="A37" s="5" t="s">
        <v>35</v>
      </c>
      <c r="B37" s="22" t="str">
        <f aca="false">IF(OR(B36="",NOT(ISNUMBER(F10))),"",IF(B36&lt;=F10,"PASS - "&amp;TEXT(B36,"0.00")&amp;" Ω is at or below "&amp;TEXT(F10,"0.00")&amp;" Ω","FAIL - "&amp;TEXT(B36,"0.00")&amp;" Ω is above "&amp;TEXT(F10,"0.00")&amp;" Ω"))</f>
        <v>FAIL - 19.80 Ω is above 5.00 Ω</v>
      </c>
      <c r="C37" s="22"/>
      <c r="D37" s="22"/>
      <c r="E37" s="22"/>
      <c r="F37" s="22"/>
      <c r="G37" s="22"/>
      <c r="H37" s="22"/>
    </row>
    <row r="38" customFormat="false" ht="15" hidden="false" customHeight="true" outlineLevel="0" collapsed="false">
      <c r="A38" s="5" t="s">
        <v>36</v>
      </c>
      <c r="B38" s="23" t="s">
        <v>77</v>
      </c>
      <c r="C38" s="23"/>
      <c r="D38" s="23"/>
      <c r="E38" s="23"/>
      <c r="F38" s="23"/>
      <c r="G38" s="23"/>
      <c r="H38" s="23"/>
    </row>
    <row r="39" customFormat="false" ht="15" hidden="false" customHeight="false" outlineLevel="0" collapsed="false">
      <c r="B39" s="23"/>
      <c r="C39" s="23"/>
      <c r="D39" s="23"/>
      <c r="E39" s="23"/>
      <c r="F39" s="23"/>
      <c r="G39" s="23"/>
      <c r="H39" s="23"/>
    </row>
    <row r="40" customFormat="false" ht="15" hidden="false" customHeight="false" outlineLevel="0" collapsed="false">
      <c r="B40" s="23"/>
      <c r="C40" s="23"/>
      <c r="D40" s="23"/>
      <c r="E40" s="23"/>
      <c r="F40" s="23"/>
      <c r="G40" s="23"/>
      <c r="H40" s="23"/>
    </row>
    <row r="41" customFormat="false" ht="27.75" hidden="false" customHeight="true" outlineLevel="0" collapsed="false">
      <c r="A41" s="5" t="s">
        <v>37</v>
      </c>
      <c r="B41" s="6"/>
      <c r="C41" s="6"/>
      <c r="D41" s="6"/>
      <c r="E41" s="5" t="s">
        <v>38</v>
      </c>
      <c r="F41" s="6"/>
      <c r="G41" s="6"/>
      <c r="H41" s="6"/>
    </row>
  </sheetData>
  <sheetProtection sheet="true" formatColumns="false" formatRows="false"/>
  <mergeCells count="27">
    <mergeCell ref="A1:H1"/>
    <mergeCell ref="A2:H2"/>
    <mergeCell ref="A3:H3"/>
    <mergeCell ref="A5:H5"/>
    <mergeCell ref="B6:D6"/>
    <mergeCell ref="F6:H6"/>
    <mergeCell ref="B7:D7"/>
    <mergeCell ref="F7:H7"/>
    <mergeCell ref="B8:D8"/>
    <mergeCell ref="F8:H8"/>
    <mergeCell ref="B9:D9"/>
    <mergeCell ref="F9:H9"/>
    <mergeCell ref="B10:D10"/>
    <mergeCell ref="F10:H10"/>
    <mergeCell ref="B11:D11"/>
    <mergeCell ref="F11:H11"/>
    <mergeCell ref="B12:D12"/>
    <mergeCell ref="F12:H12"/>
    <mergeCell ref="C13:H13"/>
    <mergeCell ref="A15:H15"/>
    <mergeCell ref="A27:D27"/>
    <mergeCell ref="A29:H29"/>
    <mergeCell ref="B34:H34"/>
    <mergeCell ref="B37:H37"/>
    <mergeCell ref="B38:H40"/>
    <mergeCell ref="B41:D41"/>
    <mergeCell ref="F41:H41"/>
  </mergeCells>
  <conditionalFormatting sqref="C13">
    <cfRule type="expression" priority="2" aboveAverage="0" equalAverage="0" bottom="0" percent="0" rank="0" text="" dxfId="0">
      <formula>OR(ISNUMBER(SEARCH("BELOW",C13)),ISNUMBER(SEARCH("Dangerous",C13)),ISNUMBER(SEARCH("Outside",C13)),ISNUMBER(SEARCH("FAIL",C13)),ISNUMBER(SEARCH("Not OK",C13)),ISNUMBER(SEARCH("Invalid",C13)),ISNUMBER(SEARCH("Not valid",C13)))</formula>
    </cfRule>
    <cfRule type="expression" priority="3" aboveAverage="0" equalAverage="0" bottom="0" percent="0" rank="0" text="" dxfId="1">
      <formula>OR(ISNUMBER(SEARCH("REVIEW",C13)),ISNUMBER(SEARCH("INCOMPLETE",C13)),ISNUMBER(SEARCH("Questionable",C13)),ISNUMBER(SEARCH("Poor",C13)),ISNUMBER(SEARCH("Check",C13)))</formula>
    </cfRule>
    <cfRule type="expression" priority="4" aboveAverage="0" equalAverage="0" bottom="0" percent="0" rank="0" text="" dxfId="2">
      <formula>OR(ISNUMBER(SEARCH("PASS",C13)),ISNUMBER(SEARCH("Meets",C13)),ISNUMBER(SEARCH("Good",C13)),ISNUMBER(SEARCH("Excellent",C13)),ISNUMBER(SEARCH("Acceptable",C13)),ISNUMBER(SEARCH("Within",C13)),ISNUMBER(SEARCH("Valid",C13)),ISNUMBER(SEARCH("OK",C13)))</formula>
    </cfRule>
  </conditionalFormatting>
  <conditionalFormatting sqref="B34">
    <cfRule type="expression" priority="5" aboveAverage="0" equalAverage="0" bottom="0" percent="0" rank="0" text="" dxfId="0">
      <formula>OR(ISNUMBER(SEARCH("BELOW",B34)),ISNUMBER(SEARCH("Dangerous",B34)),ISNUMBER(SEARCH("Outside",B34)),ISNUMBER(SEARCH("FAIL",B34)),ISNUMBER(SEARCH("Not OK",B34)),ISNUMBER(SEARCH("Invalid",B34)),ISNUMBER(SEARCH("Not valid",B34)))</formula>
    </cfRule>
    <cfRule type="expression" priority="6" aboveAverage="0" equalAverage="0" bottom="0" percent="0" rank="0" text="" dxfId="1">
      <formula>OR(ISNUMBER(SEARCH("REVIEW",B34)),ISNUMBER(SEARCH("INCOMPLETE",B34)),ISNUMBER(SEARCH("Questionable",B34)),ISNUMBER(SEARCH("Poor",B34)),ISNUMBER(SEARCH("Check",B34)))</formula>
    </cfRule>
    <cfRule type="expression" priority="7" aboveAverage="0" equalAverage="0" bottom="0" percent="0" rank="0" text="" dxfId="2">
      <formula>OR(ISNUMBER(SEARCH("PASS",B34)),ISNUMBER(SEARCH("Meets",B34)),ISNUMBER(SEARCH("Good",B34)),ISNUMBER(SEARCH("Excellent",B34)),ISNUMBER(SEARCH("Acceptable",B34)),ISNUMBER(SEARCH("Within",B34)),ISNUMBER(SEARCH("Valid",B34)),ISNUMBER(SEARCH("OK",B34)))</formula>
    </cfRule>
  </conditionalFormatting>
  <conditionalFormatting sqref="B37">
    <cfRule type="expression" priority="8" aboveAverage="0" equalAverage="0" bottom="0" percent="0" rank="0" text="" dxfId="0">
      <formula>OR(ISNUMBER(SEARCH("BELOW",B37)),ISNUMBER(SEARCH("Dangerous",B37)),ISNUMBER(SEARCH("Outside",B37)),ISNUMBER(SEARCH("FAIL",B37)),ISNUMBER(SEARCH("Not OK",B37)),ISNUMBER(SEARCH("Invalid",B37)),ISNUMBER(SEARCH("Not valid",B37)))</formula>
    </cfRule>
    <cfRule type="expression" priority="9" aboveAverage="0" equalAverage="0" bottom="0" percent="0" rank="0" text="" dxfId="1">
      <formula>OR(ISNUMBER(SEARCH("REVIEW",B37)),ISNUMBER(SEARCH("INCOMPLETE",B37)),ISNUMBER(SEARCH("Questionable",B37)),ISNUMBER(SEARCH("Poor",B37)),ISNUMBER(SEARCH("Check",B37)))</formula>
    </cfRule>
    <cfRule type="expression" priority="10" aboveAverage="0" equalAverage="0" bottom="0" percent="0" rank="0" text="" dxfId="2">
      <formula>OR(ISNUMBER(SEARCH("PASS",B37)),ISNUMBER(SEARCH("Meets",B37)),ISNUMBER(SEARCH("Good",B37)),ISNUMBER(SEARCH("Excellent",B37)),ISNUMBER(SEARCH("Acceptable",B37)),ISNUMBER(SEARCH("Within",B37)),ISNUMBER(SEARCH("Valid",B37)),ISNUMBER(SEARCH("OK",B37)))</formula>
    </cfRule>
  </conditionalFormatting>
  <dataValidations count="6">
    <dataValidation allowBlank="true" error="Pick a value from the list" errorStyle="stop" errorTitle="Invalid entry" operator="between" showDropDown="false" showErrorMessage="false" showInputMessage="false" sqref="B8" type="list">
      <formula1>"Dry,Damp,Wet,Frozen"</formula1>
      <formula2>0</formula2>
    </dataValidation>
    <dataValidation allowBlank="true" error="Enter a number" errorStyle="stop" errorTitle="Invalid entry" operator="greaterThanOrEqual" showDropDown="false" showErrorMessage="false" showInputMessage="false" sqref="B9" type="decimal">
      <formula1>0</formula1>
      <formula2>0</formula2>
    </dataValidation>
    <dataValidation allowBlank="true" error="Enter a number" errorStyle="stop" errorTitle="Invalid entry" operator="greaterThanOrEqual" showDropDown="false" showErrorMessage="false" showInputMessage="false" sqref="F9" type="decimal">
      <formula1>0</formula1>
      <formula2>0</formula2>
    </dataValidation>
    <dataValidation allowBlank="true" error="Enter a number" errorStyle="stop" errorTitle="Invalid entry" operator="greaterThanOrEqual" showDropDown="false" showErrorMessage="false" showInputMessage="false" sqref="B10" type="decimal">
      <formula1>0</formula1>
      <formula2>0</formula2>
    </dataValidation>
    <dataValidation allowBlank="true" error="Enter a number" errorStyle="stop" errorTitle="Invalid entry" operator="greaterThanOrEqual" showDropDown="false" showErrorMessage="false" showInputMessage="false" sqref="F10" type="decimal">
      <formula1>0</formula1>
      <formula2>0</formula2>
    </dataValidation>
    <dataValidation allowBlank="true" error="Enter a number" errorStyle="stop" errorTitle="Invalid entry" operator="greaterThanOrEqual" showDropDown="false" showErrorMessage="false" showInputMessage="false" sqref="C17:C26" type="decimal">
      <formula1>0</formula1>
      <formula2>0</formula2>
    </dataValidation>
  </dataValidations>
  <printOptions headings="false" gridLines="false" gridLinesSet="true" horizontalCentered="false" verticalCentered="false"/>
  <pageMargins left="0.4" right="0.4" top="0.6" bottom="0.6"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Cambridge Instruments Engg. Co. (CIE), Howrah  |  cieinstruments.in&amp;R&amp;8 Page &amp;P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3" min="2" style="0" width="13"/>
    <col collapsed="false" customWidth="true" hidden="false" outlineLevel="0" max="5" min="4" style="0" width="15"/>
    <col collapsed="false" customWidth="true" hidden="false" outlineLevel="0" max="8" min="6" style="0" width="13"/>
  </cols>
  <sheetData>
    <row r="1" customFormat="false" ht="30" hidden="false" customHeight="true" outlineLevel="0" collapsed="false">
      <c r="A1" s="1" t="s">
        <v>39</v>
      </c>
      <c r="B1" s="1"/>
      <c r="C1" s="1"/>
      <c r="D1" s="1"/>
      <c r="E1" s="1"/>
      <c r="F1" s="1"/>
      <c r="G1" s="1"/>
      <c r="H1" s="1"/>
    </row>
    <row r="2" customFormat="false" ht="25.5" hidden="false" customHeight="true" outlineLevel="0" collapsed="false">
      <c r="A2" s="2" t="s">
        <v>40</v>
      </c>
      <c r="B2" s="2"/>
      <c r="C2" s="2"/>
      <c r="D2" s="2"/>
      <c r="E2" s="2"/>
      <c r="F2" s="2"/>
      <c r="G2" s="2"/>
      <c r="H2" s="2"/>
    </row>
    <row r="3" customFormat="false" ht="15" hidden="false" customHeight="false" outlineLevel="0" collapsed="false">
      <c r="A3" s="33" t="s">
        <v>67</v>
      </c>
      <c r="B3" s="33"/>
      <c r="C3" s="33"/>
      <c r="D3" s="33"/>
      <c r="E3" s="33"/>
      <c r="F3" s="33"/>
      <c r="G3" s="33"/>
      <c r="H3" s="33"/>
    </row>
    <row r="5" customFormat="false" ht="18" hidden="false" customHeight="true" outlineLevel="0" collapsed="false">
      <c r="A5" s="4" t="s">
        <v>41</v>
      </c>
      <c r="B5" s="4"/>
      <c r="C5" s="4"/>
      <c r="D5" s="4"/>
      <c r="E5" s="4"/>
      <c r="F5" s="4"/>
      <c r="G5" s="4"/>
      <c r="H5" s="4"/>
    </row>
    <row r="6" customFormat="false" ht="15" hidden="false" customHeight="true" outlineLevel="0" collapsed="false">
      <c r="A6" s="5" t="s">
        <v>4</v>
      </c>
      <c r="B6" s="6" t="s">
        <v>68</v>
      </c>
      <c r="C6" s="6"/>
      <c r="D6" s="6"/>
      <c r="E6" s="5" t="s">
        <v>7</v>
      </c>
      <c r="F6" s="7" t="n">
        <v>46313</v>
      </c>
      <c r="G6" s="7"/>
      <c r="H6" s="7"/>
    </row>
    <row r="7" customFormat="false" ht="23.85" hidden="false" customHeight="true" outlineLevel="0" collapsed="false">
      <c r="A7" s="5" t="s">
        <v>42</v>
      </c>
      <c r="B7" s="6" t="s">
        <v>78</v>
      </c>
      <c r="C7" s="6"/>
      <c r="D7" s="6"/>
      <c r="E7" s="5" t="s">
        <v>43</v>
      </c>
      <c r="F7" s="6" t="s">
        <v>73</v>
      </c>
      <c r="G7" s="6"/>
      <c r="H7" s="6"/>
    </row>
    <row r="8" customFormat="false" ht="15" hidden="false" customHeight="true" outlineLevel="0" collapsed="false">
      <c r="A8" s="5" t="s">
        <v>44</v>
      </c>
      <c r="B8" s="24" t="n">
        <v>0.2</v>
      </c>
      <c r="C8" s="18" t="s">
        <v>45</v>
      </c>
      <c r="D8" s="18"/>
      <c r="E8" s="18"/>
      <c r="F8" s="18"/>
      <c r="G8" s="18"/>
      <c r="H8" s="18"/>
    </row>
    <row r="10" customFormat="false" ht="18" hidden="false" customHeight="true" outlineLevel="0" collapsed="false">
      <c r="A10" s="4" t="s">
        <v>46</v>
      </c>
      <c r="B10" s="4"/>
      <c r="C10" s="4"/>
      <c r="D10" s="4"/>
      <c r="E10" s="4"/>
      <c r="F10" s="4"/>
      <c r="G10" s="4"/>
      <c r="H10" s="4"/>
    </row>
    <row r="11" customFormat="false" ht="42" hidden="false" customHeight="true" outlineLevel="0" collapsed="false">
      <c r="A11" s="12" t="s">
        <v>47</v>
      </c>
      <c r="B11" s="12" t="s">
        <v>22</v>
      </c>
      <c r="C11" s="12" t="s">
        <v>48</v>
      </c>
      <c r="D11" s="12" t="s">
        <v>49</v>
      </c>
      <c r="E11" s="12" t="s">
        <v>50</v>
      </c>
      <c r="F11" s="12" t="s">
        <v>51</v>
      </c>
    </row>
    <row r="12" customFormat="false" ht="15" hidden="false" customHeight="false" outlineLevel="0" collapsed="false">
      <c r="A12" s="25" t="n">
        <v>1</v>
      </c>
      <c r="B12" s="24" t="n">
        <v>9.87</v>
      </c>
      <c r="C12" s="26" t="n">
        <f aca="false">IF(AND(ISNUMBER(A12),A12&gt;0,ISNUMBER($B$8)),$B$8/A12,"")</f>
        <v>0.2</v>
      </c>
      <c r="D12" s="27" t="n">
        <f aca="false">IF(AND(ISNUMBER(A12),ISNUMBER(B12),ISNUMBER($B$8),A12&gt;0),4*PI()*A12*B12/(1+2*A12/SQRT(A12^2+4*$B$8^2)-A12/SQRT(A12^2+$B$8^2)),"")</f>
        <v>66.1009817302595</v>
      </c>
      <c r="E12" s="27" t="n">
        <f aca="false">IF(AND(ISNUMBER(A12),ISNUMBER(B12),A12&gt;0),2*PI()*A12*B12,"")</f>
        <v>62.0150389818625</v>
      </c>
      <c r="F12" s="19" t="n">
        <f aca="false">IF(OR(D12="",E12=""),"",E12/D12-1)</f>
        <v>-0.061813646960201</v>
      </c>
    </row>
    <row r="13" customFormat="false" ht="15" hidden="false" customHeight="false" outlineLevel="0" collapsed="false">
      <c r="A13" s="25" t="n">
        <v>2</v>
      </c>
      <c r="B13" s="24" t="n">
        <v>4.77</v>
      </c>
      <c r="C13" s="26" t="n">
        <f aca="false">IF(AND(ISNUMBER(A13),A13&gt;0,ISNUMBER($B$8)),$B$8/A13,"")</f>
        <v>0.1</v>
      </c>
      <c r="D13" s="27" t="n">
        <f aca="false">IF(AND(ISNUMBER(A13),ISNUMBER(B13),ISNUMBER($B$8),A13&gt;0),4*PI()*A13*B13/(1+2*A13/SQRT(A13^2+4*$B$8^2)-A13/SQRT(A13^2+$B$8^2)),"")</f>
        <v>60.974366740671</v>
      </c>
      <c r="E13" s="27" t="n">
        <f aca="false">IF(AND(ISNUMBER(A13),ISNUMBER(B13),A13&gt;0),2*PI()*A13*B13,"")</f>
        <v>59.9415878304933</v>
      </c>
      <c r="F13" s="19" t="n">
        <f aca="false">IF(OR(D13="",E13=""),"",E13/D13-1)</f>
        <v>-0.0169379194140745</v>
      </c>
    </row>
    <row r="14" customFormat="false" ht="15" hidden="false" customHeight="false" outlineLevel="0" collapsed="false">
      <c r="A14" s="25" t="n">
        <v>4</v>
      </c>
      <c r="B14" s="24" t="n">
        <v>2.31</v>
      </c>
      <c r="C14" s="26" t="n">
        <f aca="false">IF(AND(ISNUMBER(A14),A14&gt;0,ISNUMBER($B$8)),$B$8/A14,"")</f>
        <v>0.05</v>
      </c>
      <c r="D14" s="27" t="n">
        <f aca="false">IF(AND(ISNUMBER(A14),ISNUMBER(B14),ISNUMBER($B$8),A14&gt;0),4*PI()*A14*B14/(1+2*A14/SQRT(A14^2+4*$B$8^2)-A14/SQRT(A14^2+$B$8^2)),"")</f>
        <v>58.3096365401336</v>
      </c>
      <c r="E14" s="27" t="n">
        <f aca="false">IF(AND(ISNUMBER(A14),ISNUMBER(B14),A14&gt;0),2*PI()*A14*B14,"")</f>
        <v>58.0566322383394</v>
      </c>
      <c r="F14" s="19" t="n">
        <f aca="false">IF(OR(D14="",E14=""),"",E14/D14-1)</f>
        <v>-0.004338979228933</v>
      </c>
    </row>
    <row r="15" customFormat="false" ht="15" hidden="false" customHeight="false" outlineLevel="0" collapsed="false">
      <c r="A15" s="25" t="n">
        <v>8</v>
      </c>
      <c r="B15" s="24" t="n">
        <v>1.17</v>
      </c>
      <c r="C15" s="26" t="n">
        <f aca="false">IF(AND(ISNUMBER(A15),A15&gt;0,ISNUMBER($B$8)),$B$8/A15,"")</f>
        <v>0.025</v>
      </c>
      <c r="D15" s="27" t="n">
        <f aca="false">IF(AND(ISNUMBER(A15),ISNUMBER(B15),ISNUMBER($B$8),A15&gt;0),4*PI()*A15*B15/(1+2*A15/SQRT(A15^2+4*$B$8^2)-A15/SQRT(A15^2+$B$8^2)),"")</f>
        <v>58.8748754789942</v>
      </c>
      <c r="E15" s="27" t="n">
        <f aca="false">IF(AND(ISNUMBER(A15),ISNUMBER(B15),A15&gt;0),2*PI()*A15*B15,"")</f>
        <v>58.8106144752009</v>
      </c>
      <c r="F15" s="19" t="n">
        <f aca="false">IF(OR(D15="",E15=""),"",E15/D15-1)</f>
        <v>-0.00109148432621675</v>
      </c>
    </row>
    <row r="16" customFormat="false" ht="15" hidden="false" customHeight="false" outlineLevel="0" collapsed="false">
      <c r="A16" s="25" t="n">
        <v>16</v>
      </c>
      <c r="B16" s="24" t="n">
        <v>0.61</v>
      </c>
      <c r="C16" s="26" t="n">
        <f aca="false">IF(AND(ISNUMBER(A16),A16&gt;0,ISNUMBER($B$8)),$B$8/A16,"")</f>
        <v>0.0125</v>
      </c>
      <c r="D16" s="27" t="n">
        <f aca="false">IF(AND(ISNUMBER(A16),ISNUMBER(B16),ISNUMBER($B$8),A16&gt;0),4*PI()*A16*B16/(1+2*A16/SQRT(A16^2+4*$B$8^2)-A16/SQRT(A16^2+$B$8^2)),"")</f>
        <v>61.3406527327933</v>
      </c>
      <c r="E16" s="27" t="n">
        <f aca="false">IF(AND(ISNUMBER(A16),ISNUMBER(B16),A16&gt;0),2*PI()*A16*B16,"")</f>
        <v>61.3238885980728</v>
      </c>
      <c r="F16" s="19" t="n">
        <f aca="false">IF(OR(D16="",E16=""),"",E16/D16-1)</f>
        <v>-0.000273295668918205</v>
      </c>
    </row>
    <row r="17" customFormat="false" ht="15" hidden="false" customHeight="false" outlineLevel="0" collapsed="false">
      <c r="A17" s="25"/>
      <c r="B17" s="24"/>
      <c r="C17" s="26" t="str">
        <f aca="false">IF(AND(ISNUMBER(A17),A17&gt;0,ISNUMBER($B$8)),$B$8/A17,"")</f>
        <v/>
      </c>
      <c r="D17" s="27" t="str">
        <f aca="false">IF(AND(ISNUMBER(A17),ISNUMBER(B17),ISNUMBER($B$8),A17&gt;0),4*PI()*A17*B17/(1+2*A17/SQRT(A17^2+4*$B$8^2)-A17/SQRT(A17^2+$B$8^2)),"")</f>
        <v/>
      </c>
      <c r="E17" s="27" t="str">
        <f aca="false">IF(AND(ISNUMBER(A17),ISNUMBER(B17),A17&gt;0),2*PI()*A17*B17,"")</f>
        <v/>
      </c>
      <c r="F17" s="19" t="str">
        <f aca="false">IF(OR(D17="",E17=""),"",E17/D17-1)</f>
        <v/>
      </c>
    </row>
    <row r="18" customFormat="false" ht="15" hidden="false" customHeight="false" outlineLevel="0" collapsed="false">
      <c r="A18" s="25"/>
      <c r="B18" s="24"/>
      <c r="C18" s="26" t="str">
        <f aca="false">IF(AND(ISNUMBER(A18),A18&gt;0,ISNUMBER($B$8)),$B$8/A18,"")</f>
        <v/>
      </c>
      <c r="D18" s="27" t="str">
        <f aca="false">IF(AND(ISNUMBER(A18),ISNUMBER(B18),ISNUMBER($B$8),A18&gt;0),4*PI()*A18*B18/(1+2*A18/SQRT(A18^2+4*$B$8^2)-A18/SQRT(A18^2+$B$8^2)),"")</f>
        <v/>
      </c>
      <c r="E18" s="27" t="str">
        <f aca="false">IF(AND(ISNUMBER(A18),ISNUMBER(B18),A18&gt;0),2*PI()*A18*B18,"")</f>
        <v/>
      </c>
      <c r="F18" s="19" t="str">
        <f aca="false">IF(OR(D18="",E18=""),"",E18/D18-1)</f>
        <v/>
      </c>
    </row>
    <row r="19" customFormat="false" ht="15" hidden="false" customHeight="false" outlineLevel="0" collapsed="false">
      <c r="A19" s="25"/>
      <c r="B19" s="24"/>
      <c r="C19" s="26" t="str">
        <f aca="false">IF(AND(ISNUMBER(A19),A19&gt;0,ISNUMBER($B$8)),$B$8/A19,"")</f>
        <v/>
      </c>
      <c r="D19" s="27" t="str">
        <f aca="false">IF(AND(ISNUMBER(A19),ISNUMBER(B19),ISNUMBER($B$8),A19&gt;0),4*PI()*A19*B19/(1+2*A19/SQRT(A19^2+4*$B$8^2)-A19/SQRT(A19^2+$B$8^2)),"")</f>
        <v/>
      </c>
      <c r="E19" s="27" t="str">
        <f aca="false">IF(AND(ISNUMBER(A19),ISNUMBER(B19),A19&gt;0),2*PI()*A19*B19,"")</f>
        <v/>
      </c>
      <c r="F19" s="19" t="str">
        <f aca="false">IF(OR(D19="",E19=""),"",E19/D19-1)</f>
        <v/>
      </c>
    </row>
    <row r="20" customFormat="false" ht="30" hidden="false" customHeight="true" outlineLevel="0" collapsed="false">
      <c r="A20" s="5" t="s">
        <v>52</v>
      </c>
      <c r="B20" s="27" t="n">
        <f aca="false">IF(COUNT(D12:D19)=0,"",AVERAGE(D12:D19))</f>
        <v>61.1201026445703</v>
      </c>
      <c r="D20" s="18" t="s">
        <v>53</v>
      </c>
      <c r="E20" s="18"/>
      <c r="F20" s="18"/>
      <c r="G20" s="18"/>
      <c r="H20" s="18"/>
    </row>
    <row r="21" customFormat="false" ht="15" hidden="false" customHeight="false" outlineLevel="0" collapsed="false">
      <c r="A21" s="5" t="s">
        <v>54</v>
      </c>
      <c r="B21" s="27" t="n">
        <f aca="false">IF(COUNT(D12:D19)=0,"",MIN(D12:D19))</f>
        <v>58.3096365401336</v>
      </c>
      <c r="C21" s="27" t="n">
        <f aca="false">IF(COUNT(D12:D19)=0,"",MAX(D12:D19))</f>
        <v>66.1009817302595</v>
      </c>
      <c r="D21" s="18"/>
      <c r="E21" s="18"/>
      <c r="F21" s="18"/>
      <c r="G21" s="18"/>
      <c r="H21" s="18"/>
    </row>
    <row r="22" customFormat="false" ht="15" hidden="false" customHeight="false" outlineLevel="0" collapsed="false">
      <c r="A22" s="5" t="s">
        <v>55</v>
      </c>
      <c r="B22" s="14" t="n">
        <f aca="false">IF(COUNT(D12:D19)&lt;2,"",MAX(D12:D19)/MIN(D12:D19))</f>
        <v>1.13362019817707</v>
      </c>
      <c r="D22" s="18"/>
      <c r="E22" s="18"/>
      <c r="F22" s="18"/>
      <c r="G22" s="18"/>
      <c r="H22" s="18"/>
    </row>
    <row r="24" customFormat="false" ht="18" hidden="false" customHeight="true" outlineLevel="0" collapsed="false">
      <c r="A24" s="4" t="s">
        <v>56</v>
      </c>
      <c r="B24" s="4"/>
      <c r="C24" s="4"/>
      <c r="D24" s="4"/>
      <c r="E24" s="4"/>
      <c r="F24" s="4"/>
      <c r="G24" s="4"/>
      <c r="H24" s="4"/>
    </row>
    <row r="25" customFormat="false" ht="15" hidden="false" customHeight="true" outlineLevel="0" collapsed="false">
      <c r="A25" s="5" t="s">
        <v>57</v>
      </c>
      <c r="B25" s="28"/>
      <c r="C25" s="18" t="s">
        <v>58</v>
      </c>
      <c r="D25" s="18"/>
      <c r="E25" s="18"/>
      <c r="F25" s="18"/>
      <c r="G25" s="18"/>
      <c r="H25" s="18"/>
    </row>
    <row r="26" customFormat="false" ht="15" hidden="false" customHeight="false" outlineLevel="0" collapsed="false">
      <c r="A26" s="5" t="s">
        <v>59</v>
      </c>
      <c r="B26" s="27" t="n">
        <f aca="false">IF(ISNUMBER(B25),B25,IF(B20="","",B20))</f>
        <v>61.1201026445703</v>
      </c>
    </row>
    <row r="27" customFormat="false" ht="15" hidden="false" customHeight="false" outlineLevel="0" collapsed="false">
      <c r="A27" s="5" t="s">
        <v>60</v>
      </c>
      <c r="B27" s="15" t="n">
        <v>3</v>
      </c>
    </row>
    <row r="28" customFormat="false" ht="15" hidden="false" customHeight="false" outlineLevel="0" collapsed="false">
      <c r="A28" s="5" t="s">
        <v>61</v>
      </c>
      <c r="B28" s="29" t="n">
        <v>16</v>
      </c>
    </row>
    <row r="29" customFormat="false" ht="15" hidden="false" customHeight="false" outlineLevel="0" collapsed="false">
      <c r="A29" s="20" t="s">
        <v>62</v>
      </c>
      <c r="B29" s="30" t="n">
        <f aca="false">IF(AND(ISNUMBER(B26),ISNUMBER(B27),ISNUMBER(B28),B27&gt;0,B28&gt;0),B26/(2*PI()*B27)*(LN(4*B27/(B28/2000))-1),"")</f>
        <v>20.4707569601594</v>
      </c>
    </row>
    <row r="30" customFormat="false" ht="15" hidden="false" customHeight="true" outlineLevel="0" collapsed="false">
      <c r="A30" s="5" t="s">
        <v>63</v>
      </c>
      <c r="B30" s="31" t="n">
        <f aca="false">IF(ISNUMBER('Earth Electrode Test (Example)'!B36),'Earth Electrode Test (Example)'!B36,"")</f>
        <v>19.8</v>
      </c>
      <c r="C30" s="18" t="s">
        <v>64</v>
      </c>
      <c r="D30" s="18"/>
      <c r="E30" s="18"/>
      <c r="F30" s="18"/>
      <c r="G30" s="18"/>
      <c r="H30" s="18"/>
    </row>
    <row r="31" customFormat="false" ht="15" hidden="false" customHeight="false" outlineLevel="0" collapsed="false">
      <c r="A31" s="5" t="s">
        <v>65</v>
      </c>
      <c r="B31" s="32" t="n">
        <f aca="false">IF(OR(B29="",B30=""),"",B30/B29-1)</f>
        <v>-0.0327665929239857</v>
      </c>
    </row>
    <row r="32" customFormat="false" ht="33.75" hidden="false" customHeight="true" outlineLevel="0" collapsed="false">
      <c r="A32" s="18" t="s">
        <v>66</v>
      </c>
      <c r="B32" s="18"/>
      <c r="C32" s="18"/>
      <c r="D32" s="18"/>
      <c r="E32" s="18"/>
      <c r="F32" s="18"/>
      <c r="G32" s="18"/>
      <c r="H32" s="18"/>
    </row>
  </sheetData>
  <sheetProtection sheet="true" formatColumns="false" formatRows="false"/>
  <mergeCells count="15">
    <mergeCell ref="A1:H1"/>
    <mergeCell ref="A2:H2"/>
    <mergeCell ref="A3:H3"/>
    <mergeCell ref="A5:H5"/>
    <mergeCell ref="B6:D6"/>
    <mergeCell ref="F6:H6"/>
    <mergeCell ref="B7:D7"/>
    <mergeCell ref="F7:H7"/>
    <mergeCell ref="C8:H8"/>
    <mergeCell ref="A10:H10"/>
    <mergeCell ref="D20:H22"/>
    <mergeCell ref="A24:H24"/>
    <mergeCell ref="C25:H25"/>
    <mergeCell ref="C30:H30"/>
    <mergeCell ref="A32:H32"/>
  </mergeCells>
  <dataValidations count="5">
    <dataValidation allowBlank="true" error="Enter a number" errorStyle="stop" errorTitle="Invalid entry" operator="greaterThanOrEqual" showDropDown="false" showErrorMessage="false" showInputMessage="false" sqref="B8" type="decimal">
      <formula1>0</formula1>
      <formula2>0</formula2>
    </dataValidation>
    <dataValidation allowBlank="true" error="Enter a number" errorStyle="stop" errorTitle="Invalid entry" operator="greaterThanOrEqual" showDropDown="false" showErrorMessage="false" showInputMessage="false" sqref="A12:B19" type="decimal">
      <formula1>0</formula1>
      <formula2>0</formula2>
    </dataValidation>
    <dataValidation allowBlank="true" error="Enter a number" errorStyle="stop" errorTitle="Invalid entry" operator="greaterThanOrEqual" showDropDown="false" showErrorMessage="false" showInputMessage="false" sqref="B25" type="decimal">
      <formula1>0</formula1>
      <formula2>0</formula2>
    </dataValidation>
    <dataValidation allowBlank="true" error="Enter a number" errorStyle="stop" errorTitle="Invalid entry" operator="greaterThanOrEqual" showDropDown="false" showErrorMessage="false" showInputMessage="false" sqref="B27" type="decimal">
      <formula1>0</formula1>
      <formula2>0</formula2>
    </dataValidation>
    <dataValidation allowBlank="true" error="Enter a number" errorStyle="stop" errorTitle="Invalid entry" operator="greaterThanOrEqual" showDropDown="false" showErrorMessage="false" showInputMessage="false" sqref="B28" type="decimal">
      <formula1>0</formula1>
      <formula2>0</formula2>
    </dataValidation>
  </dataValidations>
  <printOptions headings="false" gridLines="false" gridLinesSet="true" horizontalCentered="false" verticalCentered="false"/>
  <pageMargins left="0.4" right="0.4" top="0.6" bottom="0.6"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&amp;L&amp;8 Cambridge Instruments Engg. Co. (CIE), Howrah  |  cieinstruments.in&amp;R&amp;8 Page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6"/>
    <col collapsed="false" customWidth="true" hidden="false" outlineLevel="0" max="2" min="2" style="0" width="14"/>
    <col collapsed="false" customWidth="true" hidden="false" outlineLevel="0" max="3" min="3" style="0" width="12"/>
    <col collapsed="false" customWidth="true" hidden="false" outlineLevel="0" max="4" min="4" style="0" width="76"/>
  </cols>
  <sheetData>
    <row r="1" customFormat="false" ht="30" hidden="false" customHeight="true" outlineLevel="0" collapsed="false">
      <c r="A1" s="1" t="s">
        <v>79</v>
      </c>
      <c r="B1" s="1"/>
      <c r="C1" s="1"/>
      <c r="D1" s="1"/>
    </row>
    <row r="2" customFormat="false" ht="25.5" hidden="false" customHeight="true" outlineLevel="0" collapsed="false">
      <c r="A2" s="2" t="s">
        <v>80</v>
      </c>
      <c r="B2" s="2"/>
      <c r="C2" s="2"/>
      <c r="D2" s="2"/>
    </row>
    <row r="3" customFormat="false" ht="15" hidden="false" customHeight="false" outlineLevel="0" collapsed="false">
      <c r="A3" s="3" t="s">
        <v>2</v>
      </c>
      <c r="B3" s="3"/>
      <c r="C3" s="3"/>
      <c r="D3" s="3"/>
    </row>
    <row r="5" customFormat="false" ht="18" hidden="false" customHeight="true" outlineLevel="0" collapsed="false">
      <c r="A5" s="4" t="s">
        <v>81</v>
      </c>
      <c r="B5" s="4"/>
      <c r="C5" s="4"/>
      <c r="D5" s="4"/>
    </row>
    <row r="6" customFormat="false" ht="15" hidden="false" customHeight="false" outlineLevel="0" collapsed="false">
      <c r="A6" s="12" t="s">
        <v>82</v>
      </c>
      <c r="B6" s="12" t="s">
        <v>83</v>
      </c>
      <c r="C6" s="12" t="s">
        <v>84</v>
      </c>
      <c r="D6" s="12" t="s">
        <v>85</v>
      </c>
    </row>
    <row r="7" customFormat="false" ht="30" hidden="false" customHeight="true" outlineLevel="0" collapsed="false">
      <c r="A7" s="34" t="s">
        <v>86</v>
      </c>
      <c r="B7" s="13" t="n">
        <v>0.52</v>
      </c>
      <c r="C7" s="35" t="s">
        <v>87</v>
      </c>
      <c r="D7" s="36" t="s">
        <v>88</v>
      </c>
    </row>
    <row r="8" customFormat="false" ht="30" hidden="false" customHeight="true" outlineLevel="0" collapsed="false">
      <c r="A8" s="34" t="s">
        <v>89</v>
      </c>
      <c r="B8" s="13" t="n">
        <v>0.62</v>
      </c>
      <c r="C8" s="35" t="s">
        <v>87</v>
      </c>
      <c r="D8" s="36" t="s">
        <v>90</v>
      </c>
    </row>
    <row r="9" customFormat="false" ht="30" hidden="false" customHeight="true" outlineLevel="0" collapsed="false">
      <c r="A9" s="34" t="s">
        <v>91</v>
      </c>
      <c r="B9" s="13" t="n">
        <v>0.72</v>
      </c>
      <c r="C9" s="35" t="s">
        <v>87</v>
      </c>
      <c r="D9" s="36" t="s">
        <v>92</v>
      </c>
    </row>
    <row r="10" customFormat="false" ht="30" hidden="false" customHeight="true" outlineLevel="0" collapsed="false">
      <c r="A10" s="34" t="s">
        <v>93</v>
      </c>
      <c r="B10" s="37" t="n">
        <v>5</v>
      </c>
      <c r="C10" s="35" t="s">
        <v>94</v>
      </c>
      <c r="D10" s="36" t="s">
        <v>95</v>
      </c>
    </row>
    <row r="11" customFormat="false" ht="30" hidden="false" customHeight="true" outlineLevel="0" collapsed="false">
      <c r="A11" s="34" t="s">
        <v>96</v>
      </c>
      <c r="B11" s="37" t="n">
        <v>5</v>
      </c>
      <c r="C11" s="35" t="s">
        <v>97</v>
      </c>
      <c r="D11" s="36" t="s">
        <v>98</v>
      </c>
    </row>
    <row r="14" customFormat="false" ht="18" hidden="false" customHeight="true" outlineLevel="0" collapsed="false">
      <c r="A14" s="4" t="s">
        <v>99</v>
      </c>
      <c r="B14" s="4"/>
      <c r="C14" s="4"/>
      <c r="D14" s="4"/>
    </row>
    <row r="15" customFormat="false" ht="45.75" hidden="false" customHeight="true" outlineLevel="0" collapsed="false">
      <c r="A15" s="38" t="s">
        <v>100</v>
      </c>
      <c r="B15" s="39" t="s">
        <v>101</v>
      </c>
      <c r="C15" s="39"/>
      <c r="D15" s="39"/>
    </row>
    <row r="16" customFormat="false" ht="45.75" hidden="false" customHeight="true" outlineLevel="0" collapsed="false">
      <c r="A16" s="38" t="s">
        <v>102</v>
      </c>
      <c r="B16" s="39" t="s">
        <v>103</v>
      </c>
      <c r="C16" s="39"/>
      <c r="D16" s="39"/>
    </row>
    <row r="17" customFormat="false" ht="45.75" hidden="false" customHeight="true" outlineLevel="0" collapsed="false">
      <c r="A17" s="38" t="s">
        <v>104</v>
      </c>
      <c r="B17" s="39" t="s">
        <v>105</v>
      </c>
      <c r="C17" s="39"/>
      <c r="D17" s="39"/>
    </row>
    <row r="19" customFormat="false" ht="18" hidden="false" customHeight="true" outlineLevel="0" collapsed="false">
      <c r="A19" s="4" t="s">
        <v>106</v>
      </c>
      <c r="B19" s="4"/>
      <c r="C19" s="4"/>
      <c r="D19" s="4"/>
    </row>
    <row r="20" customFormat="false" ht="43.5" hidden="false" customHeight="true" outlineLevel="0" collapsed="false">
      <c r="A20" s="39" t="s">
        <v>107</v>
      </c>
      <c r="B20" s="39"/>
      <c r="C20" s="39"/>
      <c r="D20" s="39"/>
    </row>
    <row r="21" customFormat="false" ht="43.5" hidden="false" customHeight="true" outlineLevel="0" collapsed="false">
      <c r="A21" s="39" t="s">
        <v>108</v>
      </c>
      <c r="B21" s="39"/>
      <c r="C21" s="39"/>
      <c r="D21" s="39"/>
    </row>
    <row r="22" customFormat="false" ht="43.5" hidden="false" customHeight="true" outlineLevel="0" collapsed="false">
      <c r="A22" s="39" t="s">
        <v>109</v>
      </c>
      <c r="B22" s="39"/>
      <c r="C22" s="39"/>
      <c r="D22" s="39"/>
    </row>
    <row r="23" customFormat="false" ht="43.5" hidden="false" customHeight="true" outlineLevel="0" collapsed="false">
      <c r="A23" s="39" t="s">
        <v>110</v>
      </c>
      <c r="B23" s="39"/>
      <c r="C23" s="39"/>
      <c r="D23" s="39"/>
    </row>
    <row r="24" customFormat="false" ht="43.5" hidden="false" customHeight="true" outlineLevel="0" collapsed="false">
      <c r="A24" s="39" t="s">
        <v>111</v>
      </c>
      <c r="B24" s="39"/>
      <c r="C24" s="39"/>
      <c r="D24" s="39"/>
    </row>
  </sheetData>
  <sheetProtection sheet="true" formatColumns="false" formatRows="false"/>
  <mergeCells count="14">
    <mergeCell ref="A1:D1"/>
    <mergeCell ref="A2:D2"/>
    <mergeCell ref="A3:D3"/>
    <mergeCell ref="A5:D5"/>
    <mergeCell ref="A14:D14"/>
    <mergeCell ref="B15:D15"/>
    <mergeCell ref="B16:D16"/>
    <mergeCell ref="B17:D17"/>
    <mergeCell ref="A19:D19"/>
    <mergeCell ref="A20:D20"/>
    <mergeCell ref="A21:D21"/>
    <mergeCell ref="A22:D22"/>
    <mergeCell ref="A23:D23"/>
    <mergeCell ref="A24:D24"/>
  </mergeCells>
  <printOptions headings="false" gridLines="false" gridLinesSet="true" horizontalCentered="false" verticalCentered="false"/>
  <pageMargins left="0.4" right="0.4" top="0.6" bottom="0.6"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Cambridge Instruments Engg. Co. (CIE), Howrah  |  cieinstruments.in&amp;R&amp;8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2026-10-18T09:06:12Z</dcterms:created>
  <dc:creator>openpyxl</dc:creator>
  <dc:description/>
  <dc:language>en-US</dc:language>
  <cp:lastModifiedBy/>
  <dcterms:modified xsi:type="dcterms:W3CDTF">2026-10-18T14:36:24Z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