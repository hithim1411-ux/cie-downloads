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Example" sheetId="2" state="visible" r:id="rId4"/>
    <sheet name="Reference" sheetId="3" state="visible" r:id="rId5"/>
  </sheets>
  <definedNames>
    <definedName function="false" hidden="false" localSheetId="1" name="_xlnm.Print_Area" vbProcedure="false">Example!$A$1:$K$53</definedName>
    <definedName function="false" hidden="false" localSheetId="0" name="_xlnm.Print_Area" vbProcedure="false">Report!$A$1:$K$53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<sst xmlns="http://schemas.openxmlformats.org/spreadsheetml/2006/main" count="209" uniqueCount="128">
  <si>
    <t xml:space="preserve">INSULATION RESISTANCE TEST REPORT</t>
  </si>
  <si>
    <t xml:space="preserve">Timed test (15 s, 30 s, 45 s, 60 s, 10 min) with temperature correction, DAR, polarization index and IEEE 43 minimums</t>
  </si>
  <si>
    <t xml:space="preserve">Enter data in the blue-on-yellow cells. Grey cells are calculated and locked (sheet protection has no password: Review &gt; Unprotect Sheet).</t>
  </si>
  <si>
    <t xml:space="preserve">1. Job and machine details</t>
  </si>
  <si>
    <t xml:space="preserve">Customer / site</t>
  </si>
  <si>
    <t xml:space="preserve">Equipment ID / tag</t>
  </si>
  <si>
    <t xml:space="preserve">Machine / cable description</t>
  </si>
  <si>
    <t xml:space="preserve">Test date</t>
  </si>
  <si>
    <t xml:space="preserve">Rated line voltage (kV)</t>
  </si>
  <si>
    <t xml:space="preserve">Winding class (sets minimum IR)</t>
  </si>
  <si>
    <t xml:space="preserve">Thermal class of insulation</t>
  </si>
  <si>
    <t xml:space="preserve">Test voltage applied (V DC)</t>
  </si>
  <si>
    <t xml:space="preserve">Winding / insulation temperature (°C)</t>
  </si>
  <si>
    <t xml:space="preserve">Ambient temperature (°C) and humidity (%)</t>
  </si>
  <si>
    <t xml:space="preserve">Test instrument model</t>
  </si>
  <si>
    <t xml:space="preserve">Instrument serial number and calibration due</t>
  </si>
  <si>
    <t xml:space="preserve">Tested by</t>
  </si>
  <si>
    <t xml:space="preserve">Witnessed or reviewed by</t>
  </si>
  <si>
    <t xml:space="preserve">2. Timed readings and calculated values</t>
  </si>
  <si>
    <t xml:space="preserve">Connection tested (for example U to E, V and W earthed)</t>
  </si>
  <si>
    <t xml:space="preserve">15 s (MΩ)</t>
  </si>
  <si>
    <t xml:space="preserve">30 s (MΩ)</t>
  </si>
  <si>
    <t xml:space="preserve">45 s (MΩ)</t>
  </si>
  <si>
    <t xml:space="preserve">60 s (MΩ)</t>
  </si>
  <si>
    <t xml:space="preserve">10 min (MΩ)</t>
  </si>
  <si>
    <t xml:space="preserve">Leakage at 1 min (µA)</t>
  </si>
  <si>
    <t xml:space="preserve">Temp. factor Kt</t>
  </si>
  <si>
    <t xml:space="preserve">IR 1 min at 40 °C (MΩ)</t>
  </si>
  <si>
    <t xml:space="preserve">DAR (60 s / 30 s)</t>
  </si>
  <si>
    <t xml:space="preserve">PI (10 min / 1 min)</t>
  </si>
  <si>
    <t xml:space="preserve">Kt = 0.5^((40 - T) / 10). IR at 40 °C = IR at 1 min x Kt. Leakage = test voltage / IR at 1 min. Add rows by copying the last row if you test more connections.</t>
  </si>
  <si>
    <t xml:space="preserve">3. Limits for this machine</t>
  </si>
  <si>
    <t xml:space="preserve">Minimum IR at 40 °C, 1 min (MΩ)</t>
  </si>
  <si>
    <t xml:space="preserve">IEEE 43-2013: kV + 1, or 100, or 5 MΩ depending on the winding class selected above.</t>
  </si>
  <si>
    <t xml:space="preserve">Minimum polarization index</t>
  </si>
  <si>
    <t xml:space="preserve">IEEE 43-2013: 1.5 for thermal class A, 2.0 for B, F and H.</t>
  </si>
  <si>
    <t xml:space="preserve">Recommended test voltage (IEEE 43-2013)</t>
  </si>
  <si>
    <t xml:space="preserve">from / to, V DC (band number is the row in Reference section B)</t>
  </si>
  <si>
    <t xml:space="preserve">Test voltage used against recommendation</t>
  </si>
  <si>
    <t xml:space="preserve">4. Evaluation per connection</t>
  </si>
  <si>
    <t xml:space="preserve">Connection</t>
  </si>
  <si>
    <t xml:space="preserve">Minimum IR (MΩ)</t>
  </si>
  <si>
    <t xml:space="preserve">IR check</t>
  </si>
  <si>
    <t xml:space="preserve">DAR class</t>
  </si>
  <si>
    <t xml:space="preserve">PI</t>
  </si>
  <si>
    <t xml:space="preserve">PI class (guide)</t>
  </si>
  <si>
    <t xml:space="preserve">Minimum PI</t>
  </si>
  <si>
    <t xml:space="preserve">PI check</t>
  </si>
  <si>
    <t xml:space="preserve">Result</t>
  </si>
  <si>
    <t xml:space="preserve">Remarks</t>
  </si>
  <si>
    <t xml:space="preserve">5. Result</t>
  </si>
  <si>
    <t xml:space="preserve">Overall result</t>
  </si>
  <si>
    <t xml:space="preserve">Lowest IR at 40 °C across connections (MΩ)</t>
  </si>
  <si>
    <t xml:space="preserve">Lowest PI across connections</t>
  </si>
  <si>
    <t xml:space="preserve">Remarks and recommended action</t>
  </si>
  <si>
    <t xml:space="preserve">Signature and date: tester</t>
  </si>
  <si>
    <t xml:space="preserve">Reviewer</t>
  </si>
  <si>
    <t xml:space="preserve">Method notes</t>
  </si>
  <si>
    <t xml:space="preserve">1. Isolate and disconnect the winding or cable, and discharge it before and after the test. Keep leads clear of earth and of each other, and use the guard terminal where surface leakage may affect the reading.</t>
  </si>
  <si>
    <t xml:space="preserve">2. Apply the test voltage continuously for 10 minutes and note the readings at the times shown. A hand-driven tester cannot hold voltage that long, so use a motor-driven or digital instrument for PI.</t>
  </si>
  <si>
    <t xml:space="preserve">3. Record the winding temperature, not just the ambient temperature. Kt is an approximation and is most reliable when readings are compared at similar temperatures.</t>
  </si>
  <si>
    <t xml:space="preserve">4. PI is not meaningful when the 1-minute reading is above about 5000 MΩ. Judge on the absolute reading and the trend instead.</t>
  </si>
  <si>
    <t xml:space="preserve">5. Limits come from the Reference sheet (IEEE 43-2013 for rotating machines). Use the stricter of these and your plant or customer specification.</t>
  </si>
  <si>
    <t xml:space="preserve">EXAMPLE with made-up data, to show the expected format. Use the blank sheet for your own report.</t>
  </si>
  <si>
    <t xml:space="preserve">Demo Plant, Howrah</t>
  </si>
  <si>
    <t xml:space="preserve">P-101 pump motor</t>
  </si>
  <si>
    <t xml:space="preserve">415 V, 55 kW induction motor, random-wound stator</t>
  </si>
  <si>
    <t xml:space="preserve">Random-wound, or form-wound below 1 kV (5 MΩ)</t>
  </si>
  <si>
    <t xml:space="preserve">F</t>
  </si>
  <si>
    <t xml:space="preserve">30 °C / 68 %</t>
  </si>
  <si>
    <t xml:space="preserve">CIE DIT-2500</t>
  </si>
  <si>
    <t xml:space="preserve">Sample serial, cal due Mar 2027</t>
  </si>
  <si>
    <t xml:space="preserve">A. Sample</t>
  </si>
  <si>
    <t xml:space="preserve">B. Sample</t>
  </si>
  <si>
    <t xml:space="preserve">U to E (V, W earthed)</t>
  </si>
  <si>
    <t xml:space="preserve">V to E (U, W earthed)</t>
  </si>
  <si>
    <t xml:space="preserve">W to E (U, V earthed)</t>
  </si>
  <si>
    <t xml:space="preserve">Example only. All three windings above the minimum with healthy absorption. Re-test after the next shutdown and compare corrected values.</t>
  </si>
  <si>
    <t xml:space="preserve">REFERENCE: constants, limits and sources</t>
  </si>
  <si>
    <t xml:space="preserve">Every number used by the Report sheet is listed here once. Blue cells can be edited if your standard or customer specification differs.</t>
  </si>
  <si>
    <t xml:space="preserve">A. Limits and constants used in the formulas</t>
  </si>
  <si>
    <t xml:space="preserve">Item</t>
  </si>
  <si>
    <t xml:space="preserve">Value</t>
  </si>
  <si>
    <t xml:space="preserve">Unit</t>
  </si>
  <si>
    <t xml:space="preserve">Basis</t>
  </si>
  <si>
    <t xml:space="preserve">Pre-1970 windings, field windings and others: minimum IR = rated kV + this</t>
  </si>
  <si>
    <t xml:space="preserve">MΩ per kV + 1</t>
  </si>
  <si>
    <t xml:space="preserve">IEEE 43-2013, minimum IR1min for windings not described below (kV + 1 MΩ)</t>
  </si>
  <si>
    <t xml:space="preserve">Form-wound coils built after about 1970 (AC) and DC armatures: minimum IR</t>
  </si>
  <si>
    <t xml:space="preserve">MΩ</t>
  </si>
  <si>
    <t xml:space="preserve">IEEE 43-2013, minimum IR1min</t>
  </si>
  <si>
    <t xml:space="preserve">Random-wound stator coils, and form-wound coils rated below 1 kV: minimum IR</t>
  </si>
  <si>
    <t xml:space="preserve">Minimum polarization index, thermal class A</t>
  </si>
  <si>
    <t xml:space="preserve">-</t>
  </si>
  <si>
    <t xml:space="preserve">IEEE 43-2013, minimum PI by thermal class</t>
  </si>
  <si>
    <t xml:space="preserve">Minimum polarization index, thermal class B, F and H</t>
  </si>
  <si>
    <t xml:space="preserve">Reference temperature for correction</t>
  </si>
  <si>
    <t xml:space="preserve">°C</t>
  </si>
  <si>
    <t xml:space="preserve">IEEE 43-2013 refers readings to 40 °C</t>
  </si>
  <si>
    <t xml:space="preserve">Temperature interval over which IR halves</t>
  </si>
  <si>
    <t xml:space="preserve">Usual field rule (Kt = 0.5^((40 - T)/10)). An approximation.</t>
  </si>
  <si>
    <t xml:space="preserve">PI not meaningful when IR at 1 min exceeds</t>
  </si>
  <si>
    <t xml:space="preserve">IEEE 43-2013 note on very high readings</t>
  </si>
  <si>
    <t xml:space="preserve">DAR boundary: poor / questionable</t>
  </si>
  <si>
    <t xml:space="preserve">Common guide band (CIE PI and DAR calculator), not a standard limit</t>
  </si>
  <si>
    <t xml:space="preserve">DAR boundary: questionable / acceptable</t>
  </si>
  <si>
    <t xml:space="preserve">Common guide band, not a standard limit</t>
  </si>
  <si>
    <t xml:space="preserve">DAR boundary: acceptable / excellent</t>
  </si>
  <si>
    <t xml:space="preserve">PI boundary: dangerous / questionable</t>
  </si>
  <si>
    <t xml:space="preserve">PI boundary: questionable / good</t>
  </si>
  <si>
    <t xml:space="preserve">PI boundary: good / excellent</t>
  </si>
  <si>
    <t xml:space="preserve">B. Recommended DC test voltage by winding rated voltage (IEEE 43-2013)</t>
  </si>
  <si>
    <t xml:space="preserve">Rated line voltage up to (kV)</t>
  </si>
  <si>
    <t xml:space="preserve">Test voltage from (V DC)</t>
  </si>
  <si>
    <t xml:space="preserve">Test voltage to (V DC)</t>
  </si>
  <si>
    <t xml:space="preserve">Band</t>
  </si>
  <si>
    <t xml:space="preserve">Below 1 kV (strictly less than)</t>
  </si>
  <si>
    <t xml:space="preserve">1 kV up to and including 2.5 kV</t>
  </si>
  <si>
    <t xml:space="preserve">Above 2.5 kV up to and including 5 kV</t>
  </si>
  <si>
    <t xml:space="preserve">Above 5 kV up to and including 12 kV</t>
  </si>
  <si>
    <t xml:space="preserve">Above 12 kV</t>
  </si>
  <si>
    <t xml:space="preserve">C. Sources, assumptions and limits of use</t>
  </si>
  <si>
    <t xml:space="preserve">Sources: IEEE Std 43-2013, Recommended Practice for Testing Insulation Resistance of Electric Machinery (minimum IR, minimum PI, test voltages, temperature correction). The values above were entered from the standard as commonly quoted. Check them against the edition you work to before relying on a result.</t>
  </si>
  <si>
    <t xml:space="preserve">These are recommended minimums for in-service rotating machines. They are not a guarantee of health, and a pass with a falling trend still deserves attention. Use the stricter of these limits and your plant or customer specification.</t>
  </si>
  <si>
    <t xml:space="preserve">Temperature correction Kt = 0.5^((40 - T) / 10) is a field approximation. For best trending, test at a similar winding temperature each time and record the temperature.</t>
  </si>
  <si>
    <t xml:space="preserve">The DAR and PI class names (Poor, Questionable, Good and so on) are common guide bands used by CIE tools, not limits from IEEE 43. Only the minimum PI in section A comes from the standard.</t>
  </si>
  <si>
    <t xml:space="preserve">Leakage current at 1 minute is calculated as test voltage / IR (V divided by MΩ gives µA). It is an indication only, not a measurement of the instrument output current.</t>
  </si>
  <si>
    <t xml:space="preserve">For cables, transformers and other equipment, use the limits in the relevant standard or manufacturer instruction and edit the blue cells above. The winding-class options on the Report sheet apply to rotating machines.</t>
  </si>
</sst>
</file>

<file path=xl/styles.xml><?xml version="1.0" encoding="utf-8"?>
<styleSheet xmlns="http://schemas.openxmlformats.org/spreadsheetml/2006/main">
  <numFmts count="10">
    <numFmt numFmtId="164" formatCode="General"/>
    <numFmt numFmtId="165" formatCode="dd\-mmm\-yyyy"/>
    <numFmt numFmtId="166" formatCode="0.000"/>
    <numFmt numFmtId="167" formatCode="0"/>
    <numFmt numFmtId="168" formatCode="0.0"/>
    <numFmt numFmtId="169" formatCode="0.0##"/>
    <numFmt numFmtId="170" formatCode="#,##0.0"/>
    <numFmt numFmtId="171" formatCode="0.00"/>
    <numFmt numFmtId="172" formatCode="&quot;band &quot;0"/>
    <numFmt numFmtId="173" formatCode="#,##0"/>
  </numFmts>
  <fonts count="15">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C9D1DC"/>
      <name val="Arial"/>
      <family val="0"/>
      <charset val="1"/>
    </font>
    <font>
      <i val="true"/>
      <sz val="9"/>
      <color rgb="FF5B6573"/>
      <name val="Arial"/>
      <family val="0"/>
      <charset val="1"/>
    </font>
    <font>
      <b val="true"/>
      <sz val="10"/>
      <color rgb="FFFFFFFF"/>
      <name val="Arial"/>
      <family val="0"/>
      <charset val="1"/>
    </font>
    <font>
      <b val="true"/>
      <sz val="10"/>
      <color rgb="FF1F2937"/>
      <name val="Arial"/>
      <family val="0"/>
      <charset val="1"/>
    </font>
    <font>
      <sz val="10"/>
      <color rgb="FF0000FF"/>
      <name val="Arial"/>
      <family val="0"/>
      <charset val="1"/>
    </font>
    <font>
      <b val="true"/>
      <sz val="9"/>
      <color rgb="FF1F2937"/>
      <name val="Arial"/>
      <family val="0"/>
      <charset val="1"/>
    </font>
    <font>
      <sz val="10"/>
      <color rgb="FF000000"/>
      <name val="Arial"/>
      <family val="0"/>
      <charset val="1"/>
    </font>
    <font>
      <b val="true"/>
      <sz val="11"/>
      <name val="Arial"/>
      <family val="0"/>
      <charset val="1"/>
    </font>
    <font>
      <b val="true"/>
      <sz val="9"/>
      <color rgb="FFC8202B"/>
      <name val="Arial"/>
      <family val="0"/>
      <charset val="1"/>
    </font>
    <font>
      <sz val="10"/>
      <name val="Arial"/>
      <family val="0"/>
      <charset val="1"/>
    </font>
  </fonts>
  <fills count="8">
    <fill>
      <patternFill patternType="none"/>
    </fill>
    <fill>
      <patternFill patternType="gray125"/>
    </fill>
    <fill>
      <patternFill patternType="solid">
        <fgColor rgb="FF0A0E14"/>
        <bgColor rgb="FF000000"/>
      </patternFill>
    </fill>
    <fill>
      <patternFill patternType="solid">
        <fgColor rgb="FF2B3440"/>
        <bgColor rgb="FF1F2937"/>
      </patternFill>
    </fill>
    <fill>
      <patternFill patternType="solid">
        <fgColor rgb="FFFFF8D6"/>
        <bgColor rgb="FFFDE7E9"/>
      </patternFill>
    </fill>
    <fill>
      <patternFill patternType="solid">
        <fgColor rgb="FFDDE3EB"/>
        <bgColor rgb="FFEEF1F5"/>
      </patternFill>
    </fill>
    <fill>
      <patternFill patternType="solid">
        <fgColor rgb="FFEEF1F5"/>
        <bgColor rgb="FFFDE7E9"/>
      </patternFill>
    </fill>
    <fill>
      <patternFill patternType="solid">
        <fgColor rgb="FFFDE7E9"/>
        <bgColor rgb="FFEEF1F5"/>
      </patternFill>
    </fill>
  </fills>
  <borders count="3">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 diagonalUp="false" diagonalDown="false">
      <left style="thin">
        <color rgb="FFB8C0CC"/>
      </left>
      <right/>
      <top style="thin">
        <color rgb="FFB8C0CC"/>
      </top>
      <bottom style="thin">
        <color rgb="FFB8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true" applyAlignment="true" applyProtection="false">
      <alignment horizontal="left" vertical="bottom"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false" hidden="false"/>
    </xf>
    <xf numFmtId="165" fontId="9" fillId="4" borderId="1" xfId="0" applyFont="true" applyBorder="true" applyAlignment="true" applyProtection="true">
      <alignment horizontal="left" vertical="center" textRotation="0" wrapText="true" indent="0" shrinkToFit="false"/>
      <protection locked="false" hidden="false"/>
    </xf>
    <xf numFmtId="166" fontId="9" fillId="4" borderId="1" xfId="0" applyFont="true" applyBorder="true" applyAlignment="true" applyProtection="true">
      <alignment horizontal="left" vertical="center" textRotation="0" wrapText="true" indent="0" shrinkToFit="false"/>
      <protection locked="false" hidden="false"/>
    </xf>
    <xf numFmtId="167" fontId="9" fillId="4" borderId="1" xfId="0" applyFont="true" applyBorder="true" applyAlignment="true" applyProtection="true">
      <alignment horizontal="left" vertical="center" textRotation="0" wrapText="true" indent="0" shrinkToFit="false"/>
      <protection locked="false" hidden="false"/>
    </xf>
    <xf numFmtId="168" fontId="9" fillId="4" borderId="1" xfId="0" applyFont="true" applyBorder="true" applyAlignment="true" applyProtection="true">
      <alignment horizontal="left" vertical="center" textRotation="0" wrapText="true" indent="0" shrinkToFit="false"/>
      <protection locked="false" hidden="false"/>
    </xf>
    <xf numFmtId="164" fontId="10" fillId="5" borderId="1" xfId="0" applyFont="true" applyBorder="true" applyAlignment="true" applyProtection="false">
      <alignment horizontal="center" vertical="center" textRotation="0" wrapText="true" indent="0" shrinkToFit="false"/>
      <protection locked="true" hidden="false"/>
    </xf>
    <xf numFmtId="169" fontId="9" fillId="4" borderId="1" xfId="0" applyFont="true" applyBorder="true" applyAlignment="true" applyProtection="true">
      <alignment horizontal="center" vertical="center" textRotation="0" wrapText="true" indent="0" shrinkToFit="false"/>
      <protection locked="false" hidden="false"/>
    </xf>
    <xf numFmtId="166" fontId="11" fillId="6" borderId="1" xfId="0" applyFont="true" applyBorder="true" applyAlignment="true" applyProtection="false">
      <alignment horizontal="center" vertical="center" textRotation="0" wrapText="true" indent="0" shrinkToFit="false"/>
      <protection locked="true" hidden="false"/>
    </xf>
    <xf numFmtId="170" fontId="11" fillId="6" borderId="1" xfId="0" applyFont="true" applyBorder="true" applyAlignment="true" applyProtection="false">
      <alignment horizontal="center" vertical="center" textRotation="0" wrapText="true" indent="0" shrinkToFit="false"/>
      <protection locked="true" hidden="false"/>
    </xf>
    <xf numFmtId="171" fontId="11" fillId="6"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8" fontId="11" fillId="6" borderId="1" xfId="0" applyFont="true" applyBorder="true" applyAlignment="true" applyProtection="false">
      <alignment horizontal="center" vertical="center" textRotation="0" wrapText="true" indent="0" shrinkToFit="false"/>
      <protection locked="true" hidden="false"/>
    </xf>
    <xf numFmtId="172" fontId="11" fillId="6" borderId="1" xfId="0" applyFont="true" applyBorder="true" applyAlignment="true" applyProtection="false">
      <alignment horizontal="center" vertical="center" textRotation="0" wrapText="true" indent="0" shrinkToFit="false"/>
      <protection locked="true" hidden="false"/>
    </xf>
    <xf numFmtId="173" fontId="11"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top" textRotation="0" wrapText="true" indent="0" shrinkToFit="false"/>
      <protection locked="fals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13" fillId="7" borderId="0" xfId="0" applyFont="true" applyBorder="true" applyAlignment="true" applyProtection="false">
      <alignment horizontal="left" vertical="bottom" textRotation="0" wrapText="false" indent="1"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7" fontId="9" fillId="4" borderId="1" xfId="0" applyFont="true" applyBorder="true" applyAlignment="true" applyProtection="true">
      <alignment horizontal="center" vertical="center" textRotation="0" wrapText="true" indent="0" shrinkToFit="false"/>
      <protection locked="fals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71" fontId="9" fillId="4" borderId="1" xfId="0" applyFont="true" applyBorder="true" applyAlignment="true" applyProtection="true">
      <alignment horizontal="center" vertical="center" textRotation="0" wrapText="true" indent="0" shrinkToFit="false"/>
      <protection locked="false" hidden="false"/>
    </xf>
    <xf numFmtId="168" fontId="9" fillId="4" borderId="1" xfId="0" applyFont="true" applyBorder="true" applyAlignment="true" applyProtection="true">
      <alignment horizontal="center" vertical="center" textRotation="0" wrapText="true" indent="0" shrinkToFit="false"/>
      <protection locked="false" hidden="false"/>
    </xf>
    <xf numFmtId="164" fontId="14"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font>
      <fill>
        <patternFill>
          <bgColor rgb="FFFFC7CE"/>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8C0CC"/>
      <rgbColor rgb="FF808080"/>
      <rgbColor rgb="FF9999FF"/>
      <rgbColor rgb="FFC8202B"/>
      <rgbColor rgb="FFFFF8D6"/>
      <rgbColor rgb="FFEEF1F5"/>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DDE3EB"/>
      <rgbColor rgb="FFC6EFCE"/>
      <rgbColor rgb="FFFFEB9C"/>
      <rgbColor rgb="FFFDE7E9"/>
      <rgbColor rgb="FFFF99CC"/>
      <rgbColor rgb="FFCC99FF"/>
      <rgbColor rgb="FFFFC7CE"/>
      <rgbColor rgb="FF3366FF"/>
      <rgbColor rgb="FF33CCCC"/>
      <rgbColor rgb="FF99CC00"/>
      <rgbColor rgb="FFFFCC00"/>
      <rgbColor rgb="FFFF9900"/>
      <rgbColor rgb="FFFF6600"/>
      <rgbColor rgb="FF5B6573"/>
      <rgbColor rgb="FF969696"/>
      <rgbColor rgb="FF003366"/>
      <rgbColor rgb="FF339966"/>
      <rgbColor rgb="FF0A0E14"/>
      <rgbColor rgb="FF1F2937"/>
      <rgbColor rgb="FF9C5700"/>
      <rgbColor rgb="FF993366"/>
      <rgbColor rgb="FF333399"/>
      <rgbColor rgb="FF2B3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0</xdr:row>
      <xdr:rowOff>0</xdr:rowOff>
    </xdr:from>
    <xdr:to>
      <xdr:col>9</xdr:col>
      <xdr:colOff>533160</xdr:colOff>
      <xdr:row>0</xdr:row>
      <xdr:rowOff>342720</xdr:rowOff>
    </xdr:to>
    <xdr:pic>
      <xdr:nvPicPr>
        <xdr:cNvPr id="1" name="Image 1" descr="Picture"/>
        <xdr:cNvPicPr/>
      </xdr:nvPicPr>
      <xdr:blipFill>
        <a:blip r:embed="rId1"/>
        <a:stretch/>
      </xdr:blipFill>
      <xdr:spPr>
        <a:xfrm>
          <a:off x="9092520" y="0"/>
          <a:ext cx="533160" cy="342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0</xdr:row>
      <xdr:rowOff>0</xdr:rowOff>
    </xdr:from>
    <xdr:to>
      <xdr:col>9</xdr:col>
      <xdr:colOff>533160</xdr:colOff>
      <xdr:row>0</xdr:row>
      <xdr:rowOff>342720</xdr:rowOff>
    </xdr:to>
    <xdr:pic>
      <xdr:nvPicPr>
        <xdr:cNvPr id="2" name="Image 1" descr="Picture"/>
        <xdr:cNvPicPr/>
      </xdr:nvPicPr>
      <xdr:blipFill>
        <a:blip r:embed="rId1"/>
        <a:stretch/>
      </xdr:blipFill>
      <xdr:spPr>
        <a:xfrm>
          <a:off x="9092520" y="0"/>
          <a:ext cx="533160" cy="342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6" min="5" style="0" width="12"/>
    <col collapsed="false" customWidth="true" hidden="false" outlineLevel="0" max="7" min="7" style="0" width="13"/>
    <col collapsed="false" customWidth="true" hidden="false" outlineLevel="0" max="8" min="8" style="0" width="11"/>
    <col collapsed="false" customWidth="true" hidden="false" outlineLevel="0" max="9" min="9" style="0" width="14"/>
    <col collapsed="false" customWidth="true" hidden="false" outlineLevel="0" max="10" min="10" style="0" width="11"/>
    <col collapsed="false" customWidth="true" hidden="false" outlineLevel="0" max="11" min="11" style="0" width="13"/>
  </cols>
  <sheetData>
    <row r="1" customFormat="false" ht="30" hidden="false" customHeight="true" outlineLevel="0" collapsed="false">
      <c r="A1" s="1" t="s">
        <v>0</v>
      </c>
      <c r="B1" s="1"/>
      <c r="C1" s="1"/>
      <c r="D1" s="1"/>
      <c r="E1" s="1"/>
      <c r="F1" s="1"/>
      <c r="G1" s="1"/>
      <c r="H1" s="1"/>
      <c r="I1" s="1"/>
      <c r="J1" s="1"/>
      <c r="K1" s="1"/>
    </row>
    <row r="2" customFormat="false" ht="25.5" hidden="false" customHeight="true" outlineLevel="0" collapsed="false">
      <c r="A2" s="2" t="s">
        <v>1</v>
      </c>
      <c r="B2" s="2"/>
      <c r="C2" s="2"/>
      <c r="D2" s="2"/>
      <c r="E2" s="2"/>
      <c r="F2" s="2"/>
      <c r="G2" s="2"/>
      <c r="H2" s="2"/>
      <c r="I2" s="2"/>
      <c r="J2" s="2"/>
      <c r="K2" s="2"/>
    </row>
    <row r="3" customFormat="false" ht="15" hidden="false" customHeight="false" outlineLevel="0" collapsed="false">
      <c r="A3" s="3" t="s">
        <v>2</v>
      </c>
      <c r="B3" s="3"/>
      <c r="C3" s="3"/>
      <c r="D3" s="3"/>
      <c r="E3" s="3"/>
      <c r="F3" s="3"/>
      <c r="G3" s="3"/>
      <c r="H3" s="3"/>
      <c r="I3" s="3"/>
      <c r="J3" s="3"/>
      <c r="K3" s="3"/>
    </row>
    <row r="5" customFormat="false" ht="18" hidden="false" customHeight="true" outlineLevel="0" collapsed="false">
      <c r="A5" s="4" t="s">
        <v>3</v>
      </c>
      <c r="B5" s="4"/>
      <c r="C5" s="4"/>
      <c r="D5" s="4"/>
      <c r="E5" s="4"/>
      <c r="F5" s="4"/>
      <c r="G5" s="4"/>
      <c r="H5" s="4"/>
      <c r="I5" s="4"/>
      <c r="J5" s="4"/>
      <c r="K5" s="4"/>
    </row>
    <row r="6" customFormat="false" ht="15" hidden="false" customHeight="true" outlineLevel="0" collapsed="false">
      <c r="A6" s="5" t="s">
        <v>4</v>
      </c>
      <c r="B6" s="6"/>
      <c r="C6" s="6"/>
      <c r="D6" s="6"/>
      <c r="E6" s="5" t="s">
        <v>5</v>
      </c>
      <c r="F6" s="5"/>
      <c r="G6" s="6"/>
      <c r="H6" s="6"/>
      <c r="I6" s="6"/>
      <c r="J6" s="6"/>
      <c r="K6" s="6"/>
    </row>
    <row r="7" customFormat="false" ht="15" hidden="false" customHeight="true" outlineLevel="0" collapsed="false">
      <c r="A7" s="5" t="s">
        <v>6</v>
      </c>
      <c r="B7" s="6"/>
      <c r="C7" s="6"/>
      <c r="D7" s="6"/>
      <c r="E7" s="5" t="s">
        <v>7</v>
      </c>
      <c r="F7" s="5"/>
      <c r="G7" s="7"/>
      <c r="H7" s="7"/>
      <c r="I7" s="7"/>
      <c r="J7" s="7"/>
      <c r="K7" s="7"/>
    </row>
    <row r="8" customFormat="false" ht="23.85" hidden="false" customHeight="true" outlineLevel="0" collapsed="false">
      <c r="A8" s="5" t="s">
        <v>8</v>
      </c>
      <c r="B8" s="8"/>
      <c r="C8" s="8"/>
      <c r="D8" s="8"/>
      <c r="E8" s="5" t="s">
        <v>9</v>
      </c>
      <c r="F8" s="5"/>
      <c r="G8" s="6"/>
      <c r="H8" s="6"/>
      <c r="I8" s="6"/>
      <c r="J8" s="6"/>
      <c r="K8" s="6"/>
    </row>
    <row r="9" customFormat="false" ht="15" hidden="false" customHeight="true" outlineLevel="0" collapsed="false">
      <c r="A9" s="5" t="s">
        <v>10</v>
      </c>
      <c r="B9" s="6"/>
      <c r="C9" s="6"/>
      <c r="D9" s="6"/>
      <c r="E9" s="5" t="s">
        <v>11</v>
      </c>
      <c r="F9" s="5"/>
      <c r="G9" s="9"/>
      <c r="H9" s="9"/>
      <c r="I9" s="9"/>
      <c r="J9" s="9"/>
      <c r="K9" s="9"/>
    </row>
    <row r="10" customFormat="false" ht="23.85" hidden="false" customHeight="true" outlineLevel="0" collapsed="false">
      <c r="A10" s="5" t="s">
        <v>12</v>
      </c>
      <c r="B10" s="10"/>
      <c r="C10" s="10"/>
      <c r="D10" s="10"/>
      <c r="E10" s="5" t="s">
        <v>13</v>
      </c>
      <c r="F10" s="5"/>
      <c r="G10" s="6"/>
      <c r="H10" s="6"/>
      <c r="I10" s="6"/>
      <c r="J10" s="6"/>
      <c r="K10" s="6"/>
    </row>
    <row r="11" customFormat="false" ht="23.85" hidden="false" customHeight="true" outlineLevel="0" collapsed="false">
      <c r="A11" s="5" t="s">
        <v>14</v>
      </c>
      <c r="B11" s="6"/>
      <c r="C11" s="6"/>
      <c r="D11" s="6"/>
      <c r="E11" s="5" t="s">
        <v>15</v>
      </c>
      <c r="F11" s="5"/>
      <c r="G11" s="6"/>
      <c r="H11" s="6"/>
      <c r="I11" s="6"/>
      <c r="J11" s="6"/>
      <c r="K11" s="6"/>
    </row>
    <row r="12" customFormat="false" ht="15" hidden="false" customHeight="true" outlineLevel="0" collapsed="false">
      <c r="A12" s="5" t="s">
        <v>16</v>
      </c>
      <c r="B12" s="6"/>
      <c r="C12" s="6"/>
      <c r="D12" s="6"/>
      <c r="E12" s="5" t="s">
        <v>17</v>
      </c>
      <c r="F12" s="5"/>
      <c r="G12" s="6"/>
      <c r="H12" s="6"/>
      <c r="I12" s="6"/>
      <c r="J12" s="6"/>
      <c r="K12" s="6"/>
    </row>
    <row r="14" customFormat="false" ht="18" hidden="false" customHeight="true" outlineLevel="0" collapsed="false">
      <c r="A14" s="4" t="s">
        <v>18</v>
      </c>
      <c r="B14" s="4"/>
      <c r="C14" s="4"/>
      <c r="D14" s="4"/>
      <c r="E14" s="4"/>
      <c r="F14" s="4"/>
      <c r="G14" s="4"/>
      <c r="H14" s="4"/>
      <c r="I14" s="4"/>
      <c r="J14" s="4"/>
      <c r="K14" s="4"/>
    </row>
    <row r="15" customFormat="false" ht="42" hidden="false" customHeight="true" outlineLevel="0" collapsed="false">
      <c r="A15" s="11" t="s">
        <v>19</v>
      </c>
      <c r="B15" s="11" t="s">
        <v>20</v>
      </c>
      <c r="C15" s="11" t="s">
        <v>21</v>
      </c>
      <c r="D15" s="11" t="s">
        <v>22</v>
      </c>
      <c r="E15" s="11" t="s">
        <v>23</v>
      </c>
      <c r="F15" s="11" t="s">
        <v>24</v>
      </c>
      <c r="G15" s="11" t="s">
        <v>25</v>
      </c>
      <c r="H15" s="11" t="s">
        <v>26</v>
      </c>
      <c r="I15" s="11" t="s">
        <v>27</v>
      </c>
      <c r="J15" s="11" t="s">
        <v>28</v>
      </c>
      <c r="K15" s="11" t="s">
        <v>29</v>
      </c>
    </row>
    <row r="16" customFormat="false" ht="15" hidden="false" customHeight="false" outlineLevel="0" collapsed="false">
      <c r="A16" s="6"/>
      <c r="B16" s="12"/>
      <c r="C16" s="12"/>
      <c r="D16" s="12"/>
      <c r="E16" s="12"/>
      <c r="F16" s="12"/>
      <c r="G16" s="13" t="str">
        <f aca="false">IF(AND(ISNUMBER(E16),E16&gt;0,ISNUMBER($G$9)),$G$9/E16,"")</f>
        <v/>
      </c>
      <c r="H16" s="13" t="str">
        <f aca="false">IF(AND(ISNUMBER(E16),ISNUMBER($B$10)),0.5^((Reference!$B$12-$B$10)/Reference!$B$13),"")</f>
        <v/>
      </c>
      <c r="I16" s="14" t="str">
        <f aca="false">IF(H16="","",E16*H16)</f>
        <v/>
      </c>
      <c r="J16" s="15" t="str">
        <f aca="false">IF(AND(ISNUMBER(E16),ISNUMBER(C16),C16&gt;0),E16/C16,"")</f>
        <v/>
      </c>
      <c r="K16" s="15" t="str">
        <f aca="false">IF(AND(ISNUMBER(F16),ISNUMBER(E16),E16&gt;0),F16/E16,"")</f>
        <v/>
      </c>
    </row>
    <row r="17" customFormat="false" ht="15" hidden="false" customHeight="false" outlineLevel="0" collapsed="false">
      <c r="A17" s="6"/>
      <c r="B17" s="12"/>
      <c r="C17" s="12"/>
      <c r="D17" s="12"/>
      <c r="E17" s="12"/>
      <c r="F17" s="12"/>
      <c r="G17" s="13" t="str">
        <f aca="false">IF(AND(ISNUMBER(E17),E17&gt;0,ISNUMBER($G$9)),$G$9/E17,"")</f>
        <v/>
      </c>
      <c r="H17" s="13" t="str">
        <f aca="false">IF(AND(ISNUMBER(E17),ISNUMBER($B$10)),0.5^((Reference!$B$12-$B$10)/Reference!$B$13),"")</f>
        <v/>
      </c>
      <c r="I17" s="14" t="str">
        <f aca="false">IF(H17="","",E17*H17)</f>
        <v/>
      </c>
      <c r="J17" s="15" t="str">
        <f aca="false">IF(AND(ISNUMBER(E17),ISNUMBER(C17),C17&gt;0),E17/C17,"")</f>
        <v/>
      </c>
      <c r="K17" s="15" t="str">
        <f aca="false">IF(AND(ISNUMBER(F17),ISNUMBER(E17),E17&gt;0),F17/E17,"")</f>
        <v/>
      </c>
    </row>
    <row r="18" customFormat="false" ht="15" hidden="false" customHeight="false" outlineLevel="0" collapsed="false">
      <c r="A18" s="6"/>
      <c r="B18" s="12"/>
      <c r="C18" s="12"/>
      <c r="D18" s="12"/>
      <c r="E18" s="12"/>
      <c r="F18" s="12"/>
      <c r="G18" s="13" t="str">
        <f aca="false">IF(AND(ISNUMBER(E18),E18&gt;0,ISNUMBER($G$9)),$G$9/E18,"")</f>
        <v/>
      </c>
      <c r="H18" s="13" t="str">
        <f aca="false">IF(AND(ISNUMBER(E18),ISNUMBER($B$10)),0.5^((Reference!$B$12-$B$10)/Reference!$B$13),"")</f>
        <v/>
      </c>
      <c r="I18" s="14" t="str">
        <f aca="false">IF(H18="","",E18*H18)</f>
        <v/>
      </c>
      <c r="J18" s="15" t="str">
        <f aca="false">IF(AND(ISNUMBER(E18),ISNUMBER(C18),C18&gt;0),E18/C18,"")</f>
        <v/>
      </c>
      <c r="K18" s="15" t="str">
        <f aca="false">IF(AND(ISNUMBER(F18),ISNUMBER(E18),E18&gt;0),F18/E18,"")</f>
        <v/>
      </c>
    </row>
    <row r="19" customFormat="false" ht="15" hidden="false" customHeight="false" outlineLevel="0" collapsed="false">
      <c r="A19" s="6"/>
      <c r="B19" s="12"/>
      <c r="C19" s="12"/>
      <c r="D19" s="12"/>
      <c r="E19" s="12"/>
      <c r="F19" s="12"/>
      <c r="G19" s="13" t="str">
        <f aca="false">IF(AND(ISNUMBER(E19),E19&gt;0,ISNUMBER($G$9)),$G$9/E19,"")</f>
        <v/>
      </c>
      <c r="H19" s="13" t="str">
        <f aca="false">IF(AND(ISNUMBER(E19),ISNUMBER($B$10)),0.5^((Reference!$B$12-$B$10)/Reference!$B$13),"")</f>
        <v/>
      </c>
      <c r="I19" s="14" t="str">
        <f aca="false">IF(H19="","",E19*H19)</f>
        <v/>
      </c>
      <c r="J19" s="15" t="str">
        <f aca="false">IF(AND(ISNUMBER(E19),ISNUMBER(C19),C19&gt;0),E19/C19,"")</f>
        <v/>
      </c>
      <c r="K19" s="15" t="str">
        <f aca="false">IF(AND(ISNUMBER(F19),ISNUMBER(E19),E19&gt;0),F19/E19,"")</f>
        <v/>
      </c>
    </row>
    <row r="20" customFormat="false" ht="15" hidden="false" customHeight="false" outlineLevel="0" collapsed="false">
      <c r="A20" s="6"/>
      <c r="B20" s="12"/>
      <c r="C20" s="12"/>
      <c r="D20" s="12"/>
      <c r="E20" s="12"/>
      <c r="F20" s="12"/>
      <c r="G20" s="13" t="str">
        <f aca="false">IF(AND(ISNUMBER(E20),E20&gt;0,ISNUMBER($G$9)),$G$9/E20,"")</f>
        <v/>
      </c>
      <c r="H20" s="13" t="str">
        <f aca="false">IF(AND(ISNUMBER(E20),ISNUMBER($B$10)),0.5^((Reference!$B$12-$B$10)/Reference!$B$13),"")</f>
        <v/>
      </c>
      <c r="I20" s="14" t="str">
        <f aca="false">IF(H20="","",E20*H20)</f>
        <v/>
      </c>
      <c r="J20" s="15" t="str">
        <f aca="false">IF(AND(ISNUMBER(E20),ISNUMBER(C20),C20&gt;0),E20/C20,"")</f>
        <v/>
      </c>
      <c r="K20" s="15" t="str">
        <f aca="false">IF(AND(ISNUMBER(F20),ISNUMBER(E20),E20&gt;0),F20/E20,"")</f>
        <v/>
      </c>
    </row>
    <row r="21" customFormat="false" ht="15" hidden="false" customHeight="false" outlineLevel="0" collapsed="false">
      <c r="A21" s="6"/>
      <c r="B21" s="12"/>
      <c r="C21" s="12"/>
      <c r="D21" s="12"/>
      <c r="E21" s="12"/>
      <c r="F21" s="12"/>
      <c r="G21" s="13" t="str">
        <f aca="false">IF(AND(ISNUMBER(E21),E21&gt;0,ISNUMBER($G$9)),$G$9/E21,"")</f>
        <v/>
      </c>
      <c r="H21" s="13" t="str">
        <f aca="false">IF(AND(ISNUMBER(E21),ISNUMBER($B$10)),0.5^((Reference!$B$12-$B$10)/Reference!$B$13),"")</f>
        <v/>
      </c>
      <c r="I21" s="14" t="str">
        <f aca="false">IF(H21="","",E21*H21)</f>
        <v/>
      </c>
      <c r="J21" s="15" t="str">
        <f aca="false">IF(AND(ISNUMBER(E21),ISNUMBER(C21),C21&gt;0),E21/C21,"")</f>
        <v/>
      </c>
      <c r="K21" s="15" t="str">
        <f aca="false">IF(AND(ISNUMBER(F21),ISNUMBER(E21),E21&gt;0),F21/E21,"")</f>
        <v/>
      </c>
    </row>
    <row r="22" customFormat="false" ht="21.75" hidden="false" customHeight="true" outlineLevel="0" collapsed="false">
      <c r="A22" s="16" t="s">
        <v>30</v>
      </c>
      <c r="B22" s="16"/>
      <c r="C22" s="16"/>
      <c r="D22" s="16"/>
      <c r="E22" s="16"/>
      <c r="F22" s="16"/>
      <c r="G22" s="16"/>
      <c r="H22" s="16"/>
      <c r="I22" s="16"/>
      <c r="J22" s="16"/>
      <c r="K22" s="16"/>
    </row>
    <row r="24" customFormat="false" ht="18" hidden="false" customHeight="true" outlineLevel="0" collapsed="false">
      <c r="A24" s="4" t="s">
        <v>31</v>
      </c>
      <c r="B24" s="4"/>
      <c r="C24" s="4"/>
      <c r="D24" s="4"/>
      <c r="E24" s="4"/>
      <c r="F24" s="4"/>
      <c r="G24" s="4"/>
      <c r="H24" s="4"/>
      <c r="I24" s="4"/>
      <c r="J24" s="4"/>
      <c r="K24" s="4"/>
    </row>
    <row r="25" customFormat="false" ht="15" hidden="false" customHeight="true" outlineLevel="0" collapsed="false">
      <c r="A25" s="5" t="s">
        <v>32</v>
      </c>
      <c r="B25" s="15" t="str">
        <f aca="false">IF(OR(G8="",NOT(ISNUMBER(B8))),"",IF(LEFT(G8,3)="Pre",B8+Reference!$B$7,IF(LEFT(G8,4)="Form",Reference!$B$8,Reference!$B$9)))</f>
        <v/>
      </c>
      <c r="C25" s="16" t="s">
        <v>33</v>
      </c>
      <c r="D25" s="16"/>
      <c r="E25" s="16"/>
      <c r="F25" s="16"/>
      <c r="G25" s="16"/>
      <c r="H25" s="16"/>
      <c r="I25" s="16"/>
      <c r="J25" s="16"/>
      <c r="K25" s="16"/>
    </row>
    <row r="26" customFormat="false" ht="15" hidden="false" customHeight="true" outlineLevel="0" collapsed="false">
      <c r="A26" s="5" t="s">
        <v>34</v>
      </c>
      <c r="B26" s="17" t="str">
        <f aca="false">IF(B9="","",IF(B9="A",Reference!$B$10,Reference!$B$11))</f>
        <v/>
      </c>
      <c r="C26" s="16" t="s">
        <v>35</v>
      </c>
      <c r="D26" s="16"/>
      <c r="E26" s="16"/>
      <c r="F26" s="16"/>
      <c r="G26" s="16"/>
      <c r="H26" s="16"/>
      <c r="I26" s="16"/>
      <c r="J26" s="16"/>
      <c r="K26" s="16"/>
    </row>
    <row r="27" customFormat="false" ht="23.85" hidden="false" customHeight="true" outlineLevel="0" collapsed="false">
      <c r="A27" s="5" t="s">
        <v>36</v>
      </c>
      <c r="B27" s="18" t="str">
        <f aca="false">IF(NOT(ISNUMBER(B8)),"",IF(B8&lt;Reference!$A$25,1,IF(B8&lt;=Reference!$A$26,2,IF(B8&lt;=Reference!$A$27,3,IF(B8&lt;=Reference!$A$28,4,5)))))</f>
        <v/>
      </c>
      <c r="C27" s="19" t="str">
        <f aca="false">IF(B27="","",INDEX(Reference!$B$25:$B$29,B27))</f>
        <v/>
      </c>
      <c r="D27" s="19" t="str">
        <f aca="false">IF(B27="","",INDEX(Reference!$C$25:$C$29,B27))</f>
        <v/>
      </c>
      <c r="E27" s="16" t="s">
        <v>37</v>
      </c>
      <c r="F27" s="16"/>
      <c r="G27" s="16"/>
      <c r="H27" s="16"/>
      <c r="I27" s="16"/>
      <c r="J27" s="16"/>
      <c r="K27" s="16"/>
    </row>
    <row r="28" customFormat="false" ht="23.85" hidden="false" customHeight="false" outlineLevel="0" collapsed="false">
      <c r="A28" s="5" t="s">
        <v>38</v>
      </c>
      <c r="B28" s="20" t="str">
        <f aca="false">IF(OR(C27="",NOT(ISNUMBER(G9))),"",IF(AND(G9&gt;=C27,G9&lt;=D27),"Within recommended range","Outside recommended range - check"))</f>
        <v/>
      </c>
      <c r="C28" s="20"/>
      <c r="D28" s="20"/>
    </row>
    <row r="30" customFormat="false" ht="18" hidden="false" customHeight="true" outlineLevel="0" collapsed="false">
      <c r="A30" s="4" t="s">
        <v>39</v>
      </c>
      <c r="B30" s="4"/>
      <c r="C30" s="4"/>
      <c r="D30" s="4"/>
      <c r="E30" s="4"/>
      <c r="F30" s="4"/>
      <c r="G30" s="4"/>
      <c r="H30" s="4"/>
      <c r="I30" s="4"/>
      <c r="J30" s="4"/>
      <c r="K30" s="4"/>
    </row>
    <row r="31" customFormat="false" ht="30" hidden="false" customHeight="true" outlineLevel="0" collapsed="false">
      <c r="A31" s="11" t="s">
        <v>40</v>
      </c>
      <c r="B31" s="11" t="s">
        <v>27</v>
      </c>
      <c r="C31" s="11" t="s">
        <v>41</v>
      </c>
      <c r="D31" s="11" t="s">
        <v>42</v>
      </c>
      <c r="E31" s="11" t="s">
        <v>43</v>
      </c>
      <c r="F31" s="11" t="s">
        <v>44</v>
      </c>
      <c r="G31" s="11" t="s">
        <v>45</v>
      </c>
      <c r="H31" s="11" t="s">
        <v>46</v>
      </c>
      <c r="I31" s="11" t="s">
        <v>47</v>
      </c>
      <c r="J31" s="11" t="s">
        <v>48</v>
      </c>
      <c r="K31" s="11" t="s">
        <v>49</v>
      </c>
    </row>
    <row r="32" customFormat="false" ht="15" hidden="false" customHeight="false" outlineLevel="0" collapsed="false">
      <c r="A32" s="20" t="str">
        <f aca="false">IF(A16="","",A16)</f>
        <v/>
      </c>
      <c r="B32" s="14" t="str">
        <f aca="false">IF(I16="","",I16)</f>
        <v/>
      </c>
      <c r="C32" s="15" t="str">
        <f aca="false">IF(OR(A16="",$B$25=""),"",$B$25)</f>
        <v/>
      </c>
      <c r="D32" s="21" t="str">
        <f aca="false">IF(OR(B32="",C32=""),"",IF(B32&gt;=C32,"Meets minimum","Below minimum"))</f>
        <v/>
      </c>
      <c r="E32" s="21" t="str">
        <f aca="false">IF(J16="","",IF(J16&lt;Reference!$B$15,"Poor",IF(J16&lt;Reference!$B$16,"Questionable",IF(J16&lt;Reference!$B$17,"Acceptable","Excellent"))))</f>
        <v/>
      </c>
      <c r="F32" s="15" t="str">
        <f aca="false">IF(K16="","",K16)</f>
        <v/>
      </c>
      <c r="G32" s="21" t="str">
        <f aca="false">IF(F32="","",IF(E16&gt;Reference!$B$14,"Not meaningful",IF(F32&lt;Reference!$B$18,"Dangerous",IF(F32&lt;Reference!$B$19,"Questionable",IF(F32&lt;=Reference!$B$20,"Good","Excellent")))))</f>
        <v/>
      </c>
      <c r="H32" s="17" t="str">
        <f aca="false">IF(OR(A16="",$B$26=""),"",$B$26)</f>
        <v/>
      </c>
      <c r="I32" s="21" t="str">
        <f aca="false">IF(F32="","",IF(E16&gt;Reference!$B$14,"Not applicable",IF(H32="","",IF(F32&gt;=H32,"Meets minimum","Below minimum"))))</f>
        <v/>
      </c>
      <c r="J32" s="21" t="str">
        <f aca="false">IF(B32="","",IF(D32="","INCOMPLETE",IF(OR(D32="Below minimum",I32="Below minimum"),"BELOW LIMIT",IF(F32="","PASS (IR only)","PASS"))))</f>
        <v/>
      </c>
      <c r="K32" s="6"/>
    </row>
    <row r="33" customFormat="false" ht="15" hidden="false" customHeight="false" outlineLevel="0" collapsed="false">
      <c r="A33" s="20" t="str">
        <f aca="false">IF(A17="","",A17)</f>
        <v/>
      </c>
      <c r="B33" s="14" t="str">
        <f aca="false">IF(I17="","",I17)</f>
        <v/>
      </c>
      <c r="C33" s="15" t="str">
        <f aca="false">IF(OR(A17="",$B$25=""),"",$B$25)</f>
        <v/>
      </c>
      <c r="D33" s="21" t="str">
        <f aca="false">IF(OR(B33="",C33=""),"",IF(B33&gt;=C33,"Meets minimum","Below minimum"))</f>
        <v/>
      </c>
      <c r="E33" s="21" t="str">
        <f aca="false">IF(J17="","",IF(J17&lt;Reference!$B$15,"Poor",IF(J17&lt;Reference!$B$16,"Questionable",IF(J17&lt;Reference!$B$17,"Acceptable","Excellent"))))</f>
        <v/>
      </c>
      <c r="F33" s="15" t="str">
        <f aca="false">IF(K17="","",K17)</f>
        <v/>
      </c>
      <c r="G33" s="21" t="str">
        <f aca="false">IF(F33="","",IF(E17&gt;Reference!$B$14,"Not meaningful",IF(F33&lt;Reference!$B$18,"Dangerous",IF(F33&lt;Reference!$B$19,"Questionable",IF(F33&lt;=Reference!$B$20,"Good","Excellent")))))</f>
        <v/>
      </c>
      <c r="H33" s="17" t="str">
        <f aca="false">IF(OR(A17="",$B$26=""),"",$B$26)</f>
        <v/>
      </c>
      <c r="I33" s="21" t="str">
        <f aca="false">IF(F33="","",IF(E17&gt;Reference!$B$14,"Not applicable",IF(H33="","",IF(F33&gt;=H33,"Meets minimum","Below minimum"))))</f>
        <v/>
      </c>
      <c r="J33" s="21" t="str">
        <f aca="false">IF(B33="","",IF(D33="","INCOMPLETE",IF(OR(D33="Below minimum",I33="Below minimum"),"BELOW LIMIT",IF(F33="","PASS (IR only)","PASS"))))</f>
        <v/>
      </c>
      <c r="K33" s="6"/>
    </row>
    <row r="34" customFormat="false" ht="15" hidden="false" customHeight="false" outlineLevel="0" collapsed="false">
      <c r="A34" s="20" t="str">
        <f aca="false">IF(A18="","",A18)</f>
        <v/>
      </c>
      <c r="B34" s="14" t="str">
        <f aca="false">IF(I18="","",I18)</f>
        <v/>
      </c>
      <c r="C34" s="15" t="str">
        <f aca="false">IF(OR(A18="",$B$25=""),"",$B$25)</f>
        <v/>
      </c>
      <c r="D34" s="21" t="str">
        <f aca="false">IF(OR(B34="",C34=""),"",IF(B34&gt;=C34,"Meets minimum","Below minimum"))</f>
        <v/>
      </c>
      <c r="E34" s="21" t="str">
        <f aca="false">IF(J18="","",IF(J18&lt;Reference!$B$15,"Poor",IF(J18&lt;Reference!$B$16,"Questionable",IF(J18&lt;Reference!$B$17,"Acceptable","Excellent"))))</f>
        <v/>
      </c>
      <c r="F34" s="15" t="str">
        <f aca="false">IF(K18="","",K18)</f>
        <v/>
      </c>
      <c r="G34" s="21" t="str">
        <f aca="false">IF(F34="","",IF(E18&gt;Reference!$B$14,"Not meaningful",IF(F34&lt;Reference!$B$18,"Dangerous",IF(F34&lt;Reference!$B$19,"Questionable",IF(F34&lt;=Reference!$B$20,"Good","Excellent")))))</f>
        <v/>
      </c>
      <c r="H34" s="17" t="str">
        <f aca="false">IF(OR(A18="",$B$26=""),"",$B$26)</f>
        <v/>
      </c>
      <c r="I34" s="21" t="str">
        <f aca="false">IF(F34="","",IF(E18&gt;Reference!$B$14,"Not applicable",IF(H34="","",IF(F34&gt;=H34,"Meets minimum","Below minimum"))))</f>
        <v/>
      </c>
      <c r="J34" s="21" t="str">
        <f aca="false">IF(B34="","",IF(D34="","INCOMPLETE",IF(OR(D34="Below minimum",I34="Below minimum"),"BELOW LIMIT",IF(F34="","PASS (IR only)","PASS"))))</f>
        <v/>
      </c>
      <c r="K34" s="6"/>
    </row>
    <row r="35" customFormat="false" ht="15" hidden="false" customHeight="false" outlineLevel="0" collapsed="false">
      <c r="A35" s="20" t="str">
        <f aca="false">IF(A19="","",A19)</f>
        <v/>
      </c>
      <c r="B35" s="14" t="str">
        <f aca="false">IF(I19="","",I19)</f>
        <v/>
      </c>
      <c r="C35" s="15" t="str">
        <f aca="false">IF(OR(A19="",$B$25=""),"",$B$25)</f>
        <v/>
      </c>
      <c r="D35" s="21" t="str">
        <f aca="false">IF(OR(B35="",C35=""),"",IF(B35&gt;=C35,"Meets minimum","Below minimum"))</f>
        <v/>
      </c>
      <c r="E35" s="21" t="str">
        <f aca="false">IF(J19="","",IF(J19&lt;Reference!$B$15,"Poor",IF(J19&lt;Reference!$B$16,"Questionable",IF(J19&lt;Reference!$B$17,"Acceptable","Excellent"))))</f>
        <v/>
      </c>
      <c r="F35" s="15" t="str">
        <f aca="false">IF(K19="","",K19)</f>
        <v/>
      </c>
      <c r="G35" s="21" t="str">
        <f aca="false">IF(F35="","",IF(E19&gt;Reference!$B$14,"Not meaningful",IF(F35&lt;Reference!$B$18,"Dangerous",IF(F35&lt;Reference!$B$19,"Questionable",IF(F35&lt;=Reference!$B$20,"Good","Excellent")))))</f>
        <v/>
      </c>
      <c r="H35" s="17" t="str">
        <f aca="false">IF(OR(A19="",$B$26=""),"",$B$26)</f>
        <v/>
      </c>
      <c r="I35" s="21" t="str">
        <f aca="false">IF(F35="","",IF(E19&gt;Reference!$B$14,"Not applicable",IF(H35="","",IF(F35&gt;=H35,"Meets minimum","Below minimum"))))</f>
        <v/>
      </c>
      <c r="J35" s="21" t="str">
        <f aca="false">IF(B35="","",IF(D35="","INCOMPLETE",IF(OR(D35="Below minimum",I35="Below minimum"),"BELOW LIMIT",IF(F35="","PASS (IR only)","PASS"))))</f>
        <v/>
      </c>
      <c r="K35" s="6"/>
    </row>
    <row r="36" customFormat="false" ht="15" hidden="false" customHeight="false" outlineLevel="0" collapsed="false">
      <c r="A36" s="20" t="str">
        <f aca="false">IF(A20="","",A20)</f>
        <v/>
      </c>
      <c r="B36" s="14" t="str">
        <f aca="false">IF(I20="","",I20)</f>
        <v/>
      </c>
      <c r="C36" s="15" t="str">
        <f aca="false">IF(OR(A20="",$B$25=""),"",$B$25)</f>
        <v/>
      </c>
      <c r="D36" s="21" t="str">
        <f aca="false">IF(OR(B36="",C36=""),"",IF(B36&gt;=C36,"Meets minimum","Below minimum"))</f>
        <v/>
      </c>
      <c r="E36" s="21" t="str">
        <f aca="false">IF(J20="","",IF(J20&lt;Reference!$B$15,"Poor",IF(J20&lt;Reference!$B$16,"Questionable",IF(J20&lt;Reference!$B$17,"Acceptable","Excellent"))))</f>
        <v/>
      </c>
      <c r="F36" s="15" t="str">
        <f aca="false">IF(K20="","",K20)</f>
        <v/>
      </c>
      <c r="G36" s="21" t="str">
        <f aca="false">IF(F36="","",IF(E20&gt;Reference!$B$14,"Not meaningful",IF(F36&lt;Reference!$B$18,"Dangerous",IF(F36&lt;Reference!$B$19,"Questionable",IF(F36&lt;=Reference!$B$20,"Good","Excellent")))))</f>
        <v/>
      </c>
      <c r="H36" s="17" t="str">
        <f aca="false">IF(OR(A20="",$B$26=""),"",$B$26)</f>
        <v/>
      </c>
      <c r="I36" s="21" t="str">
        <f aca="false">IF(F36="","",IF(E20&gt;Reference!$B$14,"Not applicable",IF(H36="","",IF(F36&gt;=H36,"Meets minimum","Below minimum"))))</f>
        <v/>
      </c>
      <c r="J36" s="21" t="str">
        <f aca="false">IF(B36="","",IF(D36="","INCOMPLETE",IF(OR(D36="Below minimum",I36="Below minimum"),"BELOW LIMIT",IF(F36="","PASS (IR only)","PASS"))))</f>
        <v/>
      </c>
      <c r="K36" s="6"/>
    </row>
    <row r="37" customFormat="false" ht="15" hidden="false" customHeight="false" outlineLevel="0" collapsed="false">
      <c r="A37" s="20" t="str">
        <f aca="false">IF(A21="","",A21)</f>
        <v/>
      </c>
      <c r="B37" s="14" t="str">
        <f aca="false">IF(I21="","",I21)</f>
        <v/>
      </c>
      <c r="C37" s="15" t="str">
        <f aca="false">IF(OR(A21="",$B$25=""),"",$B$25)</f>
        <v/>
      </c>
      <c r="D37" s="21" t="str">
        <f aca="false">IF(OR(B37="",C37=""),"",IF(B37&gt;=C37,"Meets minimum","Below minimum"))</f>
        <v/>
      </c>
      <c r="E37" s="21" t="str">
        <f aca="false">IF(J21="","",IF(J21&lt;Reference!$B$15,"Poor",IF(J21&lt;Reference!$B$16,"Questionable",IF(J21&lt;Reference!$B$17,"Acceptable","Excellent"))))</f>
        <v/>
      </c>
      <c r="F37" s="15" t="str">
        <f aca="false">IF(K21="","",K21)</f>
        <v/>
      </c>
      <c r="G37" s="21" t="str">
        <f aca="false">IF(F37="","",IF(E21&gt;Reference!$B$14,"Not meaningful",IF(F37&lt;Reference!$B$18,"Dangerous",IF(F37&lt;Reference!$B$19,"Questionable",IF(F37&lt;=Reference!$B$20,"Good","Excellent")))))</f>
        <v/>
      </c>
      <c r="H37" s="17" t="str">
        <f aca="false">IF(OR(A21="",$B$26=""),"",$B$26)</f>
        <v/>
      </c>
      <c r="I37" s="21" t="str">
        <f aca="false">IF(F37="","",IF(E21&gt;Reference!$B$14,"Not applicable",IF(H37="","",IF(F37&gt;=H37,"Meets minimum","Below minimum"))))</f>
        <v/>
      </c>
      <c r="J37" s="21" t="str">
        <f aca="false">IF(B37="","",IF(D37="","INCOMPLETE",IF(OR(D37="Below minimum",I37="Below minimum"),"BELOW LIMIT",IF(F37="","PASS (IR only)","PASS"))))</f>
        <v/>
      </c>
      <c r="K37" s="6"/>
    </row>
    <row r="39" customFormat="false" ht="18" hidden="false" customHeight="true" outlineLevel="0" collapsed="false">
      <c r="A39" s="4" t="s">
        <v>50</v>
      </c>
      <c r="B39" s="4"/>
      <c r="C39" s="4"/>
      <c r="D39" s="4"/>
      <c r="E39" s="4"/>
      <c r="F39" s="4"/>
      <c r="G39" s="4"/>
      <c r="H39" s="4"/>
      <c r="I39" s="4"/>
      <c r="J39" s="4"/>
      <c r="K39" s="4"/>
    </row>
    <row r="40" customFormat="false" ht="15" hidden="false" customHeight="false" outlineLevel="0" collapsed="false">
      <c r="A40" s="5" t="s">
        <v>51</v>
      </c>
      <c r="B40" s="22" t="str">
        <f aca="false">IF(SUMPRODUCT(--(LEN(J32:J37)&gt;0))=0,"",IF(COUNTIF(J32:J37,"BELOW LIMIT")&gt;0,"BELOW LIMIT - "&amp;COUNTIF(J32:J37,"BELOW LIMIT")&amp;" of "&amp;SUMPRODUCT(--(LEN(J32:J37)&gt;0))&amp;" connections below the minimum",IF(COUNTIF(J32:J37,"INCOMPLETE")&gt;0,"INCOMPLETE - enter winding class, rated kV and thermal class","PASS - all "&amp;SUMPRODUCT(--(LEN(J32:J37)&gt;0))&amp;" connections meet the minimums")))</f>
        <v/>
      </c>
      <c r="C40" s="22"/>
      <c r="D40" s="22"/>
      <c r="E40" s="22"/>
      <c r="F40" s="22"/>
      <c r="G40" s="22"/>
      <c r="H40" s="22"/>
      <c r="I40" s="22"/>
      <c r="J40" s="22"/>
      <c r="K40" s="22"/>
    </row>
    <row r="41" customFormat="false" ht="23.85" hidden="false" customHeight="false" outlineLevel="0" collapsed="false">
      <c r="A41" s="5" t="s">
        <v>52</v>
      </c>
      <c r="B41" s="14" t="str">
        <f aca="false">IF(COUNT(I16:I21)=0,"",MIN(I16:I21))</f>
        <v/>
      </c>
    </row>
    <row r="42" customFormat="false" ht="15" hidden="false" customHeight="false" outlineLevel="0" collapsed="false">
      <c r="A42" s="5" t="s">
        <v>53</v>
      </c>
      <c r="B42" s="15" t="str">
        <f aca="false">IF(COUNT(K16:K21)=0,"",MIN(K16:K21))</f>
        <v/>
      </c>
    </row>
    <row r="43" customFormat="false" ht="15" hidden="false" customHeight="false" outlineLevel="0" collapsed="false">
      <c r="A43" s="5" t="s">
        <v>54</v>
      </c>
      <c r="B43" s="23"/>
      <c r="C43" s="23"/>
      <c r="D43" s="23"/>
      <c r="E43" s="23"/>
      <c r="F43" s="23"/>
      <c r="G43" s="23"/>
      <c r="H43" s="23"/>
      <c r="I43" s="23"/>
      <c r="J43" s="23"/>
      <c r="K43" s="23"/>
    </row>
    <row r="44" customFormat="false" ht="15" hidden="false" customHeight="false" outlineLevel="0" collapsed="false">
      <c r="B44" s="23"/>
      <c r="C44" s="23"/>
      <c r="D44" s="23"/>
      <c r="E44" s="23"/>
      <c r="F44" s="23"/>
      <c r="G44" s="23"/>
      <c r="H44" s="23"/>
      <c r="I44" s="23"/>
      <c r="J44" s="23"/>
      <c r="K44" s="23"/>
    </row>
    <row r="45" customFormat="false" ht="15" hidden="false" customHeight="false" outlineLevel="0" collapsed="false">
      <c r="B45" s="23"/>
      <c r="C45" s="23"/>
      <c r="D45" s="23"/>
      <c r="E45" s="23"/>
      <c r="F45" s="23"/>
      <c r="G45" s="23"/>
      <c r="H45" s="23"/>
      <c r="I45" s="23"/>
      <c r="J45" s="23"/>
      <c r="K45" s="23"/>
    </row>
    <row r="46" customFormat="false" ht="27.75" hidden="false" customHeight="true" outlineLevel="0" collapsed="false">
      <c r="A46" s="5" t="s">
        <v>55</v>
      </c>
      <c r="B46" s="6"/>
      <c r="C46" s="6"/>
      <c r="D46" s="6"/>
      <c r="E46" s="6"/>
      <c r="F46" s="24" t="s">
        <v>56</v>
      </c>
      <c r="G46" s="24"/>
      <c r="H46" s="6"/>
      <c r="I46" s="6"/>
      <c r="J46" s="6"/>
      <c r="K46" s="6"/>
    </row>
    <row r="48" customFormat="false" ht="18" hidden="false" customHeight="true" outlineLevel="0" collapsed="false">
      <c r="A48" s="4" t="s">
        <v>57</v>
      </c>
      <c r="B48" s="4"/>
      <c r="C48" s="4"/>
      <c r="D48" s="4"/>
      <c r="E48" s="4"/>
      <c r="F48" s="4"/>
      <c r="G48" s="4"/>
      <c r="H48" s="4"/>
      <c r="I48" s="4"/>
      <c r="J48" s="4"/>
      <c r="K48" s="4"/>
    </row>
    <row r="49" customFormat="false" ht="25.5" hidden="false" customHeight="true" outlineLevel="0" collapsed="false">
      <c r="A49" s="16" t="s">
        <v>58</v>
      </c>
      <c r="B49" s="16"/>
      <c r="C49" s="16"/>
      <c r="D49" s="16"/>
      <c r="E49" s="16"/>
      <c r="F49" s="16"/>
      <c r="G49" s="16"/>
      <c r="H49" s="16"/>
      <c r="I49" s="16"/>
      <c r="J49" s="16"/>
      <c r="K49" s="16"/>
    </row>
    <row r="50" customFormat="false" ht="25.5" hidden="false" customHeight="true" outlineLevel="0" collapsed="false">
      <c r="A50" s="16" t="s">
        <v>59</v>
      </c>
      <c r="B50" s="16"/>
      <c r="C50" s="16"/>
      <c r="D50" s="16"/>
      <c r="E50" s="16"/>
      <c r="F50" s="16"/>
      <c r="G50" s="16"/>
      <c r="H50" s="16"/>
      <c r="I50" s="16"/>
      <c r="J50" s="16"/>
      <c r="K50" s="16"/>
    </row>
    <row r="51" customFormat="false" ht="25.5" hidden="false" customHeight="true" outlineLevel="0" collapsed="false">
      <c r="A51" s="16" t="s">
        <v>60</v>
      </c>
      <c r="B51" s="16"/>
      <c r="C51" s="16"/>
      <c r="D51" s="16"/>
      <c r="E51" s="16"/>
      <c r="F51" s="16"/>
      <c r="G51" s="16"/>
      <c r="H51" s="16"/>
      <c r="I51" s="16"/>
      <c r="J51" s="16"/>
      <c r="K51" s="16"/>
    </row>
    <row r="52" customFormat="false" ht="25.5" hidden="false" customHeight="true" outlineLevel="0" collapsed="false">
      <c r="A52" s="16" t="s">
        <v>61</v>
      </c>
      <c r="B52" s="16"/>
      <c r="C52" s="16"/>
      <c r="D52" s="16"/>
      <c r="E52" s="16"/>
      <c r="F52" s="16"/>
      <c r="G52" s="16"/>
      <c r="H52" s="16"/>
      <c r="I52" s="16"/>
      <c r="J52" s="16"/>
      <c r="K52" s="16"/>
    </row>
    <row r="53" customFormat="false" ht="25.5" hidden="false" customHeight="true" outlineLevel="0" collapsed="false">
      <c r="A53" s="16" t="s">
        <v>62</v>
      </c>
      <c r="B53" s="16"/>
      <c r="C53" s="16"/>
      <c r="D53" s="16"/>
      <c r="E53" s="16"/>
      <c r="F53" s="16"/>
      <c r="G53" s="16"/>
      <c r="H53" s="16"/>
      <c r="I53" s="16"/>
      <c r="J53" s="16"/>
      <c r="K53" s="16"/>
    </row>
  </sheetData>
  <sheetProtection sheet="true" formatColumns="false" formatRows="false"/>
  <mergeCells count="45">
    <mergeCell ref="A1:K1"/>
    <mergeCell ref="A2:K2"/>
    <mergeCell ref="A3:K3"/>
    <mergeCell ref="A5:K5"/>
    <mergeCell ref="B6:D6"/>
    <mergeCell ref="E6:F6"/>
    <mergeCell ref="G6:K6"/>
    <mergeCell ref="B7:D7"/>
    <mergeCell ref="E7:F7"/>
    <mergeCell ref="G7:K7"/>
    <mergeCell ref="B8:D8"/>
    <mergeCell ref="E8:F8"/>
    <mergeCell ref="G8:K8"/>
    <mergeCell ref="B9:D9"/>
    <mergeCell ref="E9:F9"/>
    <mergeCell ref="G9:K9"/>
    <mergeCell ref="B10:D10"/>
    <mergeCell ref="E10:F10"/>
    <mergeCell ref="G10:K10"/>
    <mergeCell ref="B11:D11"/>
    <mergeCell ref="E11:F11"/>
    <mergeCell ref="G11:K11"/>
    <mergeCell ref="B12:D12"/>
    <mergeCell ref="E12:F12"/>
    <mergeCell ref="G12:K12"/>
    <mergeCell ref="A14:K14"/>
    <mergeCell ref="A22:K22"/>
    <mergeCell ref="A24:K24"/>
    <mergeCell ref="C25:K25"/>
    <mergeCell ref="C26:K26"/>
    <mergeCell ref="E27:K27"/>
    <mergeCell ref="B28:D28"/>
    <mergeCell ref="A30:K30"/>
    <mergeCell ref="A39:K39"/>
    <mergeCell ref="B40:K40"/>
    <mergeCell ref="B43:K45"/>
    <mergeCell ref="B46:E46"/>
    <mergeCell ref="F46:G46"/>
    <mergeCell ref="H46:K46"/>
    <mergeCell ref="A48:K48"/>
    <mergeCell ref="A49:K49"/>
    <mergeCell ref="A50:K50"/>
    <mergeCell ref="A51:K51"/>
    <mergeCell ref="A52:K52"/>
    <mergeCell ref="A53:K53"/>
  </mergeCells>
  <conditionalFormatting sqref="B28">
    <cfRule type="expression" priority="2" aboveAverage="0" equalAverage="0" bottom="0" percent="0" rank="0" text="" dxfId="0">
      <formula>OR(ISNUMBER(SEARCH("BELOW",B28)),ISNUMBER(SEARCH("Dangerous",B28)),ISNUMBER(SEARCH("Outside",B28)),ISNUMBER(SEARCH("FAIL",B28)),ISNUMBER(SEARCH("Not OK",B28)),ISNUMBER(SEARCH("Invalid",B28)),ISNUMBER(SEARCH("Not valid",B28)))</formula>
    </cfRule>
    <cfRule type="expression" priority="3" aboveAverage="0" equalAverage="0" bottom="0" percent="0" rank="0" text="" dxfId="1">
      <formula>OR(ISNUMBER(SEARCH("REVIEW",B28)),ISNUMBER(SEARCH("INCOMPLETE",B28)),ISNUMBER(SEARCH("Questionable",B28)),ISNUMBER(SEARCH("Poor",B28)),ISNUMBER(SEARCH("Check",B28)))</formula>
    </cfRule>
    <cfRule type="expression" priority="4" aboveAverage="0" equalAverage="0" bottom="0" percent="0" rank="0" text="" dxfId="2">
      <formula>OR(ISNUMBER(SEARCH("PASS",B28)),ISNUMBER(SEARCH("Meets",B28)),ISNUMBER(SEARCH("Good",B28)),ISNUMBER(SEARCH("Excellent",B28)),ISNUMBER(SEARCH("Acceptable",B28)),ISNUMBER(SEARCH("Within",B28)),ISNUMBER(SEARCH("Valid",B28)),ISNUMBER(SEARCH("OK",B28)))</formula>
    </cfRule>
  </conditionalFormatting>
  <conditionalFormatting sqref="D32:D37">
    <cfRule type="expression" priority="5" aboveAverage="0" equalAverage="0" bottom="0" percent="0" rank="0" text="" dxfId="0">
      <formula>OR(ISNUMBER(SEARCH("BELOW",D32)),ISNUMBER(SEARCH("Dangerous",D32)),ISNUMBER(SEARCH("Outside",D32)),ISNUMBER(SEARCH("FAIL",D32)),ISNUMBER(SEARCH("Not OK",D32)),ISNUMBER(SEARCH("Invalid",D32)),ISNUMBER(SEARCH("Not valid",D32)))</formula>
    </cfRule>
    <cfRule type="expression" priority="6" aboveAverage="0" equalAverage="0" bottom="0" percent="0" rank="0" text="" dxfId="1">
      <formula>OR(ISNUMBER(SEARCH("REVIEW",D32)),ISNUMBER(SEARCH("INCOMPLETE",D32)),ISNUMBER(SEARCH("Questionable",D32)),ISNUMBER(SEARCH("Poor",D32)),ISNUMBER(SEARCH("Check",D32)))</formula>
    </cfRule>
    <cfRule type="expression" priority="7" aboveAverage="0" equalAverage="0" bottom="0" percent="0" rank="0" text="" dxfId="2">
      <formula>OR(ISNUMBER(SEARCH("PASS",D32)),ISNUMBER(SEARCH("Meets",D32)),ISNUMBER(SEARCH("Good",D32)),ISNUMBER(SEARCH("Excellent",D32)),ISNUMBER(SEARCH("Acceptable",D32)),ISNUMBER(SEARCH("Within",D32)),ISNUMBER(SEARCH("Valid",D32)),ISNUMBER(SEARCH("OK",D32)))</formula>
    </cfRule>
  </conditionalFormatting>
  <conditionalFormatting sqref="E32:E37">
    <cfRule type="expression" priority="8" aboveAverage="0" equalAverage="0" bottom="0" percent="0" rank="0" text="" dxfId="0">
      <formula>OR(ISNUMBER(SEARCH("BELOW",E32)),ISNUMBER(SEARCH("Dangerous",E32)),ISNUMBER(SEARCH("Outside",E32)),ISNUMBER(SEARCH("FAIL",E32)),ISNUMBER(SEARCH("Not OK",E32)),ISNUMBER(SEARCH("Invalid",E32)),ISNUMBER(SEARCH("Not valid",E32)))</formula>
    </cfRule>
    <cfRule type="expression" priority="9" aboveAverage="0" equalAverage="0" bottom="0" percent="0" rank="0" text="" dxfId="1">
      <formula>OR(ISNUMBER(SEARCH("REVIEW",E32)),ISNUMBER(SEARCH("INCOMPLETE",E32)),ISNUMBER(SEARCH("Questionable",E32)),ISNUMBER(SEARCH("Poor",E32)),ISNUMBER(SEARCH("Check",E32)))</formula>
    </cfRule>
    <cfRule type="expression" priority="10" aboveAverage="0" equalAverage="0" bottom="0" percent="0" rank="0" text="" dxfId="2">
      <formula>OR(ISNUMBER(SEARCH("PASS",E32)),ISNUMBER(SEARCH("Meets",E32)),ISNUMBER(SEARCH("Good",E32)),ISNUMBER(SEARCH("Excellent",E32)),ISNUMBER(SEARCH("Acceptable",E32)),ISNUMBER(SEARCH("Within",E32)),ISNUMBER(SEARCH("Valid",E32)),ISNUMBER(SEARCH("OK",E32)))</formula>
    </cfRule>
  </conditionalFormatting>
  <conditionalFormatting sqref="G32:G37">
    <cfRule type="expression" priority="11" aboveAverage="0" equalAverage="0" bottom="0" percent="0" rank="0" text="" dxfId="0">
      <formula>OR(ISNUMBER(SEARCH("BELOW",G32)),ISNUMBER(SEARCH("Dangerous",G32)),ISNUMBER(SEARCH("Outside",G32)),ISNUMBER(SEARCH("FAIL",G32)),ISNUMBER(SEARCH("Not OK",G32)),ISNUMBER(SEARCH("Invalid",G32)),ISNUMBER(SEARCH("Not valid",G32)))</formula>
    </cfRule>
    <cfRule type="expression" priority="12" aboveAverage="0" equalAverage="0" bottom="0" percent="0" rank="0" text="" dxfId="1">
      <formula>OR(ISNUMBER(SEARCH("REVIEW",G32)),ISNUMBER(SEARCH("INCOMPLETE",G32)),ISNUMBER(SEARCH("Questionable",G32)),ISNUMBER(SEARCH("Poor",G32)),ISNUMBER(SEARCH("Check",G32)))</formula>
    </cfRule>
    <cfRule type="expression" priority="13" aboveAverage="0" equalAverage="0" bottom="0" percent="0" rank="0" text="" dxfId="2">
      <formula>OR(ISNUMBER(SEARCH("PASS",G32)),ISNUMBER(SEARCH("Meets",G32)),ISNUMBER(SEARCH("Good",G32)),ISNUMBER(SEARCH("Excellent",G32)),ISNUMBER(SEARCH("Acceptable",G32)),ISNUMBER(SEARCH("Within",G32)),ISNUMBER(SEARCH("Valid",G32)),ISNUMBER(SEARCH("OK",G32)))</formula>
    </cfRule>
  </conditionalFormatting>
  <conditionalFormatting sqref="I32:I37">
    <cfRule type="expression" priority="14" aboveAverage="0" equalAverage="0" bottom="0" percent="0" rank="0" text="" dxfId="0">
      <formula>OR(ISNUMBER(SEARCH("BELOW",I32)),ISNUMBER(SEARCH("Dangerous",I32)),ISNUMBER(SEARCH("Outside",I32)),ISNUMBER(SEARCH("FAIL",I32)),ISNUMBER(SEARCH("Not OK",I32)),ISNUMBER(SEARCH("Invalid",I32)),ISNUMBER(SEARCH("Not valid",I32)))</formula>
    </cfRule>
    <cfRule type="expression" priority="15" aboveAverage="0" equalAverage="0" bottom="0" percent="0" rank="0" text="" dxfId="1">
      <formula>OR(ISNUMBER(SEARCH("REVIEW",I32)),ISNUMBER(SEARCH("INCOMPLETE",I32)),ISNUMBER(SEARCH("Questionable",I32)),ISNUMBER(SEARCH("Poor",I32)),ISNUMBER(SEARCH("Check",I32)))</formula>
    </cfRule>
    <cfRule type="expression" priority="16" aboveAverage="0" equalAverage="0" bottom="0" percent="0" rank="0" text="" dxfId="2">
      <formula>OR(ISNUMBER(SEARCH("PASS",I32)),ISNUMBER(SEARCH("Meets",I32)),ISNUMBER(SEARCH("Good",I32)),ISNUMBER(SEARCH("Excellent",I32)),ISNUMBER(SEARCH("Acceptable",I32)),ISNUMBER(SEARCH("Within",I32)),ISNUMBER(SEARCH("Valid",I32)),ISNUMBER(SEARCH("OK",I32)))</formula>
    </cfRule>
  </conditionalFormatting>
  <conditionalFormatting sqref="J32:J37">
    <cfRule type="expression" priority="17" aboveAverage="0" equalAverage="0" bottom="0" percent="0" rank="0" text="" dxfId="0">
      <formula>OR(ISNUMBER(SEARCH("BELOW",J32)),ISNUMBER(SEARCH("Dangerous",J32)),ISNUMBER(SEARCH("Outside",J32)),ISNUMBER(SEARCH("FAIL",J32)),ISNUMBER(SEARCH("Not OK",J32)),ISNUMBER(SEARCH("Invalid",J32)),ISNUMBER(SEARCH("Not valid",J32)))</formula>
    </cfRule>
    <cfRule type="expression" priority="18" aboveAverage="0" equalAverage="0" bottom="0" percent="0" rank="0" text="" dxfId="1">
      <formula>OR(ISNUMBER(SEARCH("REVIEW",J32)),ISNUMBER(SEARCH("INCOMPLETE",J32)),ISNUMBER(SEARCH("Questionable",J32)),ISNUMBER(SEARCH("Poor",J32)),ISNUMBER(SEARCH("Check",J32)))</formula>
    </cfRule>
    <cfRule type="expression" priority="19" aboveAverage="0" equalAverage="0" bottom="0" percent="0" rank="0" text="" dxfId="2">
      <formula>OR(ISNUMBER(SEARCH("PASS",J32)),ISNUMBER(SEARCH("Meets",J32)),ISNUMBER(SEARCH("Good",J32)),ISNUMBER(SEARCH("Excellent",J32)),ISNUMBER(SEARCH("Acceptable",J32)),ISNUMBER(SEARCH("Within",J32)),ISNUMBER(SEARCH("Valid",J32)),ISNUMBER(SEARCH("OK",J32)))</formula>
    </cfRule>
  </conditionalFormatting>
  <conditionalFormatting sqref="B40">
    <cfRule type="expression" priority="20" aboveAverage="0" equalAverage="0" bottom="0" percent="0" rank="0" text="" dxfId="0">
      <formula>OR(ISNUMBER(SEARCH("BELOW",B40)),ISNUMBER(SEARCH("Dangerous",B40)),ISNUMBER(SEARCH("Outside",B40)),ISNUMBER(SEARCH("FAIL",B40)),ISNUMBER(SEARCH("Not OK",B40)),ISNUMBER(SEARCH("Invalid",B40)),ISNUMBER(SEARCH("Not valid",B40)))</formula>
    </cfRule>
    <cfRule type="expression" priority="21" aboveAverage="0" equalAverage="0" bottom="0" percent="0" rank="0" text="" dxfId="1">
      <formula>OR(ISNUMBER(SEARCH("REVIEW",B40)),ISNUMBER(SEARCH("INCOMPLETE",B40)),ISNUMBER(SEARCH("Questionable",B40)),ISNUMBER(SEARCH("Poor",B40)),ISNUMBER(SEARCH("Check",B40)))</formula>
    </cfRule>
    <cfRule type="expression" priority="22" aboveAverage="0" equalAverage="0" bottom="0" percent="0" rank="0" text="" dxfId="2">
      <formula>OR(ISNUMBER(SEARCH("PASS",B40)),ISNUMBER(SEARCH("Meets",B40)),ISNUMBER(SEARCH("Good",B40)),ISNUMBER(SEARCH("Excellent",B40)),ISNUMBER(SEARCH("Acceptable",B40)),ISNUMBER(SEARCH("Within",B40)),ISNUMBER(SEARCH("Valid",B40)),ISNUMBER(SEARCH("OK",B40)))</formula>
    </cfRule>
  </conditionalFormatting>
  <dataValidations count="6">
    <dataValidation allowBlank="true" error="Pick a value from the list" errorStyle="stop" errorTitle="Invalid entry" operator="between" showDropDown="false" showErrorMessage="false" showInputMessage="false" sqref="G8" type="list">
      <formula1>"Pre-1970 windings,field windings and others (kV + 1 MΩ),Form-wound,built after about 1970 (100 MΩ),Random-wound,or form-wound below 1 kV (5 MΩ)"</formula1>
      <formula2>0</formula2>
    </dataValidation>
    <dataValidation allowBlank="true" error="Pick a value from the list" errorStyle="stop" errorTitle="Invalid entry" operator="between" showDropDown="false" showErrorMessage="false" showInputMessage="false" sqref="B9" type="list">
      <formula1>"A,B,F,H"</formula1>
      <formula2>0</formula2>
    </dataValidation>
    <dataValidation allowBlank="true" error="Enter a number" errorStyle="stop" errorTitle="Invalid entry" operator="greaterThanOrEqual" showDropDown="false" showErrorMessage="false" showInputMessage="false" sqref="B8" type="decimal">
      <formula1>0</formula1>
      <formula2>0</formula2>
    </dataValidation>
    <dataValidation allowBlank="true" error="Enter a number" errorStyle="stop" errorTitle="Invalid entry" operator="greaterThanOrEqual" showDropDown="false" showErrorMessage="false" showInputMessage="false" sqref="G9" type="decimal">
      <formula1>0</formula1>
      <formula2>0</formula2>
    </dataValidation>
    <dataValidation allowBlank="true" error="Enter a number" errorStyle="stop" errorTitle="Invalid entry" operator="greaterThanOrEqual" showDropDown="false" showErrorMessage="false" showInputMessage="false" sqref="B10" type="decimal">
      <formula1>-50</formula1>
      <formula2>0</formula2>
    </dataValidation>
    <dataValidation allowBlank="true" error="Enter a number" errorStyle="stop" errorTitle="Invalid entry" operator="greaterThanOrEqual" showDropDown="false" showErrorMessage="false" showInputMessage="false" sqref="B16:F21"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6" min="5" style="0" width="12"/>
    <col collapsed="false" customWidth="true" hidden="false" outlineLevel="0" max="7" min="7" style="0" width="13"/>
    <col collapsed="false" customWidth="true" hidden="false" outlineLevel="0" max="8" min="8" style="0" width="11"/>
    <col collapsed="false" customWidth="true" hidden="false" outlineLevel="0" max="9" min="9" style="0" width="14"/>
    <col collapsed="false" customWidth="true" hidden="false" outlineLevel="0" max="10" min="10" style="0" width="11"/>
    <col collapsed="false" customWidth="true" hidden="false" outlineLevel="0" max="11" min="11" style="0" width="13"/>
  </cols>
  <sheetData>
    <row r="1" customFormat="false" ht="30" hidden="false" customHeight="true" outlineLevel="0" collapsed="false">
      <c r="A1" s="1" t="s">
        <v>0</v>
      </c>
      <c r="B1" s="1"/>
      <c r="C1" s="1"/>
      <c r="D1" s="1"/>
      <c r="E1" s="1"/>
      <c r="F1" s="1"/>
      <c r="G1" s="1"/>
      <c r="H1" s="1"/>
      <c r="I1" s="1"/>
      <c r="J1" s="1"/>
      <c r="K1" s="1"/>
    </row>
    <row r="2" customFormat="false" ht="25.5" hidden="false" customHeight="true" outlineLevel="0" collapsed="false">
      <c r="A2" s="2" t="s">
        <v>1</v>
      </c>
      <c r="B2" s="2"/>
      <c r="C2" s="2"/>
      <c r="D2" s="2"/>
      <c r="E2" s="2"/>
      <c r="F2" s="2"/>
      <c r="G2" s="2"/>
      <c r="H2" s="2"/>
      <c r="I2" s="2"/>
      <c r="J2" s="2"/>
      <c r="K2" s="2"/>
    </row>
    <row r="3" customFormat="false" ht="15" hidden="false" customHeight="false" outlineLevel="0" collapsed="false">
      <c r="A3" s="25" t="s">
        <v>63</v>
      </c>
      <c r="B3" s="25"/>
      <c r="C3" s="25"/>
      <c r="D3" s="25"/>
      <c r="E3" s="25"/>
      <c r="F3" s="25"/>
      <c r="G3" s="25"/>
      <c r="H3" s="25"/>
      <c r="I3" s="25"/>
      <c r="J3" s="25"/>
      <c r="K3" s="25"/>
    </row>
    <row r="5" customFormat="false" ht="18" hidden="false" customHeight="true" outlineLevel="0" collapsed="false">
      <c r="A5" s="4" t="s">
        <v>3</v>
      </c>
      <c r="B5" s="4"/>
      <c r="C5" s="4"/>
      <c r="D5" s="4"/>
      <c r="E5" s="4"/>
      <c r="F5" s="4"/>
      <c r="G5" s="4"/>
      <c r="H5" s="4"/>
      <c r="I5" s="4"/>
      <c r="J5" s="4"/>
      <c r="K5" s="4"/>
    </row>
    <row r="6" customFormat="false" ht="15" hidden="false" customHeight="true" outlineLevel="0" collapsed="false">
      <c r="A6" s="5" t="s">
        <v>4</v>
      </c>
      <c r="B6" s="6" t="s">
        <v>64</v>
      </c>
      <c r="C6" s="6"/>
      <c r="D6" s="6"/>
      <c r="E6" s="5" t="s">
        <v>5</v>
      </c>
      <c r="F6" s="5"/>
      <c r="G6" s="6" t="s">
        <v>65</v>
      </c>
      <c r="H6" s="6"/>
      <c r="I6" s="6"/>
      <c r="J6" s="6"/>
      <c r="K6" s="6"/>
    </row>
    <row r="7" customFormat="false" ht="23.85" hidden="false" customHeight="true" outlineLevel="0" collapsed="false">
      <c r="A7" s="5" t="s">
        <v>6</v>
      </c>
      <c r="B7" s="6" t="s">
        <v>66</v>
      </c>
      <c r="C7" s="6"/>
      <c r="D7" s="6"/>
      <c r="E7" s="5" t="s">
        <v>7</v>
      </c>
      <c r="F7" s="5"/>
      <c r="G7" s="7" t="n">
        <v>46313</v>
      </c>
      <c r="H7" s="7"/>
      <c r="I7" s="7"/>
      <c r="J7" s="7"/>
      <c r="K7" s="7"/>
    </row>
    <row r="8" customFormat="false" ht="23.85" hidden="false" customHeight="true" outlineLevel="0" collapsed="false">
      <c r="A8" s="5" t="s">
        <v>8</v>
      </c>
      <c r="B8" s="8" t="n">
        <v>0.415</v>
      </c>
      <c r="C8" s="8"/>
      <c r="D8" s="8"/>
      <c r="E8" s="5" t="s">
        <v>9</v>
      </c>
      <c r="F8" s="5"/>
      <c r="G8" s="6" t="s">
        <v>67</v>
      </c>
      <c r="H8" s="6"/>
      <c r="I8" s="6"/>
      <c r="J8" s="6"/>
      <c r="K8" s="6"/>
    </row>
    <row r="9" customFormat="false" ht="15" hidden="false" customHeight="true" outlineLevel="0" collapsed="false">
      <c r="A9" s="5" t="s">
        <v>10</v>
      </c>
      <c r="B9" s="6" t="s">
        <v>68</v>
      </c>
      <c r="C9" s="6"/>
      <c r="D9" s="6"/>
      <c r="E9" s="5" t="s">
        <v>11</v>
      </c>
      <c r="F9" s="5"/>
      <c r="G9" s="9" t="n">
        <v>500</v>
      </c>
      <c r="H9" s="9"/>
      <c r="I9" s="9"/>
      <c r="J9" s="9"/>
      <c r="K9" s="9"/>
    </row>
    <row r="10" customFormat="false" ht="23.85" hidden="false" customHeight="true" outlineLevel="0" collapsed="false">
      <c r="A10" s="5" t="s">
        <v>12</v>
      </c>
      <c r="B10" s="10" t="n">
        <v>32</v>
      </c>
      <c r="C10" s="10"/>
      <c r="D10" s="10"/>
      <c r="E10" s="5" t="s">
        <v>13</v>
      </c>
      <c r="F10" s="5"/>
      <c r="G10" s="6" t="s">
        <v>69</v>
      </c>
      <c r="H10" s="6"/>
      <c r="I10" s="6"/>
      <c r="J10" s="6"/>
      <c r="K10" s="6"/>
    </row>
    <row r="11" customFormat="false" ht="23.85" hidden="false" customHeight="true" outlineLevel="0" collapsed="false">
      <c r="A11" s="5" t="s">
        <v>14</v>
      </c>
      <c r="B11" s="6" t="s">
        <v>70</v>
      </c>
      <c r="C11" s="6"/>
      <c r="D11" s="6"/>
      <c r="E11" s="5" t="s">
        <v>15</v>
      </c>
      <c r="F11" s="5"/>
      <c r="G11" s="6" t="s">
        <v>71</v>
      </c>
      <c r="H11" s="6"/>
      <c r="I11" s="6"/>
      <c r="J11" s="6"/>
      <c r="K11" s="6"/>
    </row>
    <row r="12" customFormat="false" ht="15" hidden="false" customHeight="true" outlineLevel="0" collapsed="false">
      <c r="A12" s="5" t="s">
        <v>16</v>
      </c>
      <c r="B12" s="6" t="s">
        <v>72</v>
      </c>
      <c r="C12" s="6"/>
      <c r="D12" s="6"/>
      <c r="E12" s="5" t="s">
        <v>17</v>
      </c>
      <c r="F12" s="5"/>
      <c r="G12" s="6" t="s">
        <v>73</v>
      </c>
      <c r="H12" s="6"/>
      <c r="I12" s="6"/>
      <c r="J12" s="6"/>
      <c r="K12" s="6"/>
    </row>
    <row r="14" customFormat="false" ht="18" hidden="false" customHeight="true" outlineLevel="0" collapsed="false">
      <c r="A14" s="4" t="s">
        <v>18</v>
      </c>
      <c r="B14" s="4"/>
      <c r="C14" s="4"/>
      <c r="D14" s="4"/>
      <c r="E14" s="4"/>
      <c r="F14" s="4"/>
      <c r="G14" s="4"/>
      <c r="H14" s="4"/>
      <c r="I14" s="4"/>
      <c r="J14" s="4"/>
      <c r="K14" s="4"/>
    </row>
    <row r="15" customFormat="false" ht="42" hidden="false" customHeight="true" outlineLevel="0" collapsed="false">
      <c r="A15" s="11" t="s">
        <v>19</v>
      </c>
      <c r="B15" s="11" t="s">
        <v>20</v>
      </c>
      <c r="C15" s="11" t="s">
        <v>21</v>
      </c>
      <c r="D15" s="11" t="s">
        <v>22</v>
      </c>
      <c r="E15" s="11" t="s">
        <v>23</v>
      </c>
      <c r="F15" s="11" t="s">
        <v>24</v>
      </c>
      <c r="G15" s="11" t="s">
        <v>25</v>
      </c>
      <c r="H15" s="11" t="s">
        <v>26</v>
      </c>
      <c r="I15" s="11" t="s">
        <v>27</v>
      </c>
      <c r="J15" s="11" t="s">
        <v>28</v>
      </c>
      <c r="K15" s="11" t="s">
        <v>29</v>
      </c>
    </row>
    <row r="16" customFormat="false" ht="15" hidden="false" customHeight="false" outlineLevel="0" collapsed="false">
      <c r="A16" s="6" t="s">
        <v>74</v>
      </c>
      <c r="B16" s="12" t="n">
        <v>180</v>
      </c>
      <c r="C16" s="12" t="n">
        <v>230</v>
      </c>
      <c r="D16" s="12" t="n">
        <v>270</v>
      </c>
      <c r="E16" s="12" t="n">
        <v>300</v>
      </c>
      <c r="F16" s="12" t="n">
        <v>900</v>
      </c>
      <c r="G16" s="13" t="n">
        <f aca="false">IF(AND(ISNUMBER(E16),E16&gt;0,ISNUMBER($G$9)),$G$9/E16,"")</f>
        <v>1.66666666666667</v>
      </c>
      <c r="H16" s="13" t="n">
        <f aca="false">IF(AND(ISNUMBER(E16),ISNUMBER($B$10)),0.5^((Reference!$B$12-$B$10)/Reference!$B$13),"")</f>
        <v>0.574349177498517</v>
      </c>
      <c r="I16" s="14" t="n">
        <f aca="false">IF(H16="","",E16*H16)</f>
        <v>172.304753249555</v>
      </c>
      <c r="J16" s="15" t="n">
        <f aca="false">IF(AND(ISNUMBER(E16),ISNUMBER(C16),C16&gt;0),E16/C16,"")</f>
        <v>1.30434782608696</v>
      </c>
      <c r="K16" s="15" t="n">
        <f aca="false">IF(AND(ISNUMBER(F16),ISNUMBER(E16),E16&gt;0),F16/E16,"")</f>
        <v>3</v>
      </c>
    </row>
    <row r="17" customFormat="false" ht="15" hidden="false" customHeight="false" outlineLevel="0" collapsed="false">
      <c r="A17" s="6" t="s">
        <v>75</v>
      </c>
      <c r="B17" s="12" t="n">
        <v>170</v>
      </c>
      <c r="C17" s="12" t="n">
        <v>220</v>
      </c>
      <c r="D17" s="12" t="n">
        <v>260</v>
      </c>
      <c r="E17" s="12" t="n">
        <v>285</v>
      </c>
      <c r="F17" s="12" t="n">
        <v>860</v>
      </c>
      <c r="G17" s="13" t="n">
        <f aca="false">IF(AND(ISNUMBER(E17),E17&gt;0,ISNUMBER($G$9)),$G$9/E17,"")</f>
        <v>1.75438596491228</v>
      </c>
      <c r="H17" s="13" t="n">
        <f aca="false">IF(AND(ISNUMBER(E17),ISNUMBER($B$10)),0.5^((Reference!$B$12-$B$10)/Reference!$B$13),"")</f>
        <v>0.574349177498517</v>
      </c>
      <c r="I17" s="14" t="n">
        <f aca="false">IF(H17="","",E17*H17)</f>
        <v>163.689515587077</v>
      </c>
      <c r="J17" s="15" t="n">
        <f aca="false">IF(AND(ISNUMBER(E17),ISNUMBER(C17),C17&gt;0),E17/C17,"")</f>
        <v>1.29545454545455</v>
      </c>
      <c r="K17" s="15" t="n">
        <f aca="false">IF(AND(ISNUMBER(F17),ISNUMBER(E17),E17&gt;0),F17/E17,"")</f>
        <v>3.01754385964912</v>
      </c>
    </row>
    <row r="18" customFormat="false" ht="15" hidden="false" customHeight="false" outlineLevel="0" collapsed="false">
      <c r="A18" s="6" t="s">
        <v>76</v>
      </c>
      <c r="B18" s="12" t="n">
        <v>175</v>
      </c>
      <c r="C18" s="12" t="n">
        <v>225</v>
      </c>
      <c r="D18" s="12" t="n">
        <v>262</v>
      </c>
      <c r="E18" s="12" t="n">
        <v>290</v>
      </c>
      <c r="F18" s="12" t="n">
        <v>870</v>
      </c>
      <c r="G18" s="13" t="n">
        <f aca="false">IF(AND(ISNUMBER(E18),E18&gt;0,ISNUMBER($G$9)),$G$9/E18,"")</f>
        <v>1.72413793103448</v>
      </c>
      <c r="H18" s="13" t="n">
        <f aca="false">IF(AND(ISNUMBER(E18),ISNUMBER($B$10)),0.5^((Reference!$B$12-$B$10)/Reference!$B$13),"")</f>
        <v>0.574349177498517</v>
      </c>
      <c r="I18" s="14" t="n">
        <f aca="false">IF(H18="","",E18*H18)</f>
        <v>166.56126147457</v>
      </c>
      <c r="J18" s="15" t="n">
        <f aca="false">IF(AND(ISNUMBER(E18),ISNUMBER(C18),C18&gt;0),E18/C18,"")</f>
        <v>1.28888888888889</v>
      </c>
      <c r="K18" s="15" t="n">
        <f aca="false">IF(AND(ISNUMBER(F18),ISNUMBER(E18),E18&gt;0),F18/E18,"")</f>
        <v>3</v>
      </c>
    </row>
    <row r="19" customFormat="false" ht="15" hidden="false" customHeight="false" outlineLevel="0" collapsed="false">
      <c r="A19" s="6"/>
      <c r="B19" s="12"/>
      <c r="C19" s="12"/>
      <c r="D19" s="12"/>
      <c r="E19" s="12"/>
      <c r="F19" s="12"/>
      <c r="G19" s="13" t="str">
        <f aca="false">IF(AND(ISNUMBER(E19),E19&gt;0,ISNUMBER($G$9)),$G$9/E19,"")</f>
        <v/>
      </c>
      <c r="H19" s="13" t="str">
        <f aca="false">IF(AND(ISNUMBER(E19),ISNUMBER($B$10)),0.5^((Reference!$B$12-$B$10)/Reference!$B$13),"")</f>
        <v/>
      </c>
      <c r="I19" s="14" t="str">
        <f aca="false">IF(H19="","",E19*H19)</f>
        <v/>
      </c>
      <c r="J19" s="15" t="str">
        <f aca="false">IF(AND(ISNUMBER(E19),ISNUMBER(C19),C19&gt;0),E19/C19,"")</f>
        <v/>
      </c>
      <c r="K19" s="15" t="str">
        <f aca="false">IF(AND(ISNUMBER(F19),ISNUMBER(E19),E19&gt;0),F19/E19,"")</f>
        <v/>
      </c>
    </row>
    <row r="20" customFormat="false" ht="15" hidden="false" customHeight="false" outlineLevel="0" collapsed="false">
      <c r="A20" s="6"/>
      <c r="B20" s="12"/>
      <c r="C20" s="12"/>
      <c r="D20" s="12"/>
      <c r="E20" s="12"/>
      <c r="F20" s="12"/>
      <c r="G20" s="13" t="str">
        <f aca="false">IF(AND(ISNUMBER(E20),E20&gt;0,ISNUMBER($G$9)),$G$9/E20,"")</f>
        <v/>
      </c>
      <c r="H20" s="13" t="str">
        <f aca="false">IF(AND(ISNUMBER(E20),ISNUMBER($B$10)),0.5^((Reference!$B$12-$B$10)/Reference!$B$13),"")</f>
        <v/>
      </c>
      <c r="I20" s="14" t="str">
        <f aca="false">IF(H20="","",E20*H20)</f>
        <v/>
      </c>
      <c r="J20" s="15" t="str">
        <f aca="false">IF(AND(ISNUMBER(E20),ISNUMBER(C20),C20&gt;0),E20/C20,"")</f>
        <v/>
      </c>
      <c r="K20" s="15" t="str">
        <f aca="false">IF(AND(ISNUMBER(F20),ISNUMBER(E20),E20&gt;0),F20/E20,"")</f>
        <v/>
      </c>
    </row>
    <row r="21" customFormat="false" ht="15" hidden="false" customHeight="false" outlineLevel="0" collapsed="false">
      <c r="A21" s="6"/>
      <c r="B21" s="12"/>
      <c r="C21" s="12"/>
      <c r="D21" s="12"/>
      <c r="E21" s="12"/>
      <c r="F21" s="12"/>
      <c r="G21" s="13" t="str">
        <f aca="false">IF(AND(ISNUMBER(E21),E21&gt;0,ISNUMBER($G$9)),$G$9/E21,"")</f>
        <v/>
      </c>
      <c r="H21" s="13" t="str">
        <f aca="false">IF(AND(ISNUMBER(E21),ISNUMBER($B$10)),0.5^((Reference!$B$12-$B$10)/Reference!$B$13),"")</f>
        <v/>
      </c>
      <c r="I21" s="14" t="str">
        <f aca="false">IF(H21="","",E21*H21)</f>
        <v/>
      </c>
      <c r="J21" s="15" t="str">
        <f aca="false">IF(AND(ISNUMBER(E21),ISNUMBER(C21),C21&gt;0),E21/C21,"")</f>
        <v/>
      </c>
      <c r="K21" s="15" t="str">
        <f aca="false">IF(AND(ISNUMBER(F21),ISNUMBER(E21),E21&gt;0),F21/E21,"")</f>
        <v/>
      </c>
    </row>
    <row r="22" customFormat="false" ht="21.75" hidden="false" customHeight="true" outlineLevel="0" collapsed="false">
      <c r="A22" s="16" t="s">
        <v>30</v>
      </c>
      <c r="B22" s="16"/>
      <c r="C22" s="16"/>
      <c r="D22" s="16"/>
      <c r="E22" s="16"/>
      <c r="F22" s="16"/>
      <c r="G22" s="16"/>
      <c r="H22" s="16"/>
      <c r="I22" s="16"/>
      <c r="J22" s="16"/>
      <c r="K22" s="16"/>
    </row>
    <row r="24" customFormat="false" ht="18" hidden="false" customHeight="true" outlineLevel="0" collapsed="false">
      <c r="A24" s="4" t="s">
        <v>31</v>
      </c>
      <c r="B24" s="4"/>
      <c r="C24" s="4"/>
      <c r="D24" s="4"/>
      <c r="E24" s="4"/>
      <c r="F24" s="4"/>
      <c r="G24" s="4"/>
      <c r="H24" s="4"/>
      <c r="I24" s="4"/>
      <c r="J24" s="4"/>
      <c r="K24" s="4"/>
    </row>
    <row r="25" customFormat="false" ht="15" hidden="false" customHeight="true" outlineLevel="0" collapsed="false">
      <c r="A25" s="5" t="s">
        <v>32</v>
      </c>
      <c r="B25" s="15" t="n">
        <f aca="false">IF(OR(G8="",NOT(ISNUMBER(B8))),"",IF(LEFT(G8,3)="Pre",B8+Reference!$B$7,IF(LEFT(G8,4)="Form",Reference!$B$8,Reference!$B$9)))</f>
        <v>5</v>
      </c>
      <c r="C25" s="16" t="s">
        <v>33</v>
      </c>
      <c r="D25" s="16"/>
      <c r="E25" s="16"/>
      <c r="F25" s="16"/>
      <c r="G25" s="16"/>
      <c r="H25" s="16"/>
      <c r="I25" s="16"/>
      <c r="J25" s="16"/>
      <c r="K25" s="16"/>
    </row>
    <row r="26" customFormat="false" ht="15" hidden="false" customHeight="true" outlineLevel="0" collapsed="false">
      <c r="A26" s="5" t="s">
        <v>34</v>
      </c>
      <c r="B26" s="17" t="n">
        <f aca="false">IF(B9="","",IF(B9="A",Reference!$B$10,Reference!$B$11))</f>
        <v>2</v>
      </c>
      <c r="C26" s="16" t="s">
        <v>35</v>
      </c>
      <c r="D26" s="16"/>
      <c r="E26" s="16"/>
      <c r="F26" s="16"/>
      <c r="G26" s="16"/>
      <c r="H26" s="16"/>
      <c r="I26" s="16"/>
      <c r="J26" s="16"/>
      <c r="K26" s="16"/>
    </row>
    <row r="27" customFormat="false" ht="23.85" hidden="false" customHeight="true" outlineLevel="0" collapsed="false">
      <c r="A27" s="5" t="s">
        <v>36</v>
      </c>
      <c r="B27" s="18" t="n">
        <f aca="false">IF(NOT(ISNUMBER(B8)),"",IF(B8&lt;Reference!$A$25,1,IF(B8&lt;=Reference!$A$26,2,IF(B8&lt;=Reference!$A$27,3,IF(B8&lt;=Reference!$A$28,4,5)))))</f>
        <v>1</v>
      </c>
      <c r="C27" s="19" t="n">
        <f aca="false">IF(B27="","",INDEX(Reference!$B$25:$B$29,B27))</f>
        <v>500</v>
      </c>
      <c r="D27" s="19" t="n">
        <f aca="false">IF(B27="","",INDEX(Reference!$C$25:$C$29,B27))</f>
        <v>500</v>
      </c>
      <c r="E27" s="16" t="s">
        <v>37</v>
      </c>
      <c r="F27" s="16"/>
      <c r="G27" s="16"/>
      <c r="H27" s="16"/>
      <c r="I27" s="16"/>
      <c r="J27" s="16"/>
      <c r="K27" s="16"/>
    </row>
    <row r="28" customFormat="false" ht="23.85" hidden="false" customHeight="false" outlineLevel="0" collapsed="false">
      <c r="A28" s="5" t="s">
        <v>38</v>
      </c>
      <c r="B28" s="20" t="str">
        <f aca="false">IF(OR(C27="",NOT(ISNUMBER(G9))),"",IF(AND(G9&gt;=C27,G9&lt;=D27),"Within recommended range","Outside recommended range - check"))</f>
        <v>Within recommended range</v>
      </c>
      <c r="C28" s="20"/>
      <c r="D28" s="20"/>
    </row>
    <row r="30" customFormat="false" ht="18" hidden="false" customHeight="true" outlineLevel="0" collapsed="false">
      <c r="A30" s="4" t="s">
        <v>39</v>
      </c>
      <c r="B30" s="4"/>
      <c r="C30" s="4"/>
      <c r="D30" s="4"/>
      <c r="E30" s="4"/>
      <c r="F30" s="4"/>
      <c r="G30" s="4"/>
      <c r="H30" s="4"/>
      <c r="I30" s="4"/>
      <c r="J30" s="4"/>
      <c r="K30" s="4"/>
    </row>
    <row r="31" customFormat="false" ht="30" hidden="false" customHeight="true" outlineLevel="0" collapsed="false">
      <c r="A31" s="11" t="s">
        <v>40</v>
      </c>
      <c r="B31" s="11" t="s">
        <v>27</v>
      </c>
      <c r="C31" s="11" t="s">
        <v>41</v>
      </c>
      <c r="D31" s="11" t="s">
        <v>42</v>
      </c>
      <c r="E31" s="11" t="s">
        <v>43</v>
      </c>
      <c r="F31" s="11" t="s">
        <v>44</v>
      </c>
      <c r="G31" s="11" t="s">
        <v>45</v>
      </c>
      <c r="H31" s="11" t="s">
        <v>46</v>
      </c>
      <c r="I31" s="11" t="s">
        <v>47</v>
      </c>
      <c r="J31" s="11" t="s">
        <v>48</v>
      </c>
      <c r="K31" s="11" t="s">
        <v>49</v>
      </c>
    </row>
    <row r="32" customFormat="false" ht="23.85" hidden="false" customHeight="false" outlineLevel="0" collapsed="false">
      <c r="A32" s="20" t="str">
        <f aca="false">IF(A16="","",A16)</f>
        <v>U to E (V, W earthed)</v>
      </c>
      <c r="B32" s="14" t="n">
        <f aca="false">IF(I16="","",I16)</f>
        <v>172.304753249555</v>
      </c>
      <c r="C32" s="15" t="n">
        <f aca="false">IF(OR(A16="",$B$25=""),"",$B$25)</f>
        <v>5</v>
      </c>
      <c r="D32" s="21" t="str">
        <f aca="false">IF(OR(B32="",C32=""),"",IF(B32&gt;=C32,"Meets minimum","Below minimum"))</f>
        <v>Meets minimum</v>
      </c>
      <c r="E32" s="21" t="str">
        <f aca="false">IF(J16="","",IF(J16&lt;Reference!$B$15,"Poor",IF(J16&lt;Reference!$B$16,"Questionable",IF(J16&lt;Reference!$B$17,"Acceptable","Excellent"))))</f>
        <v>Acceptable</v>
      </c>
      <c r="F32" s="15" t="n">
        <f aca="false">IF(K16="","",K16)</f>
        <v>3</v>
      </c>
      <c r="G32" s="21" t="str">
        <f aca="false">IF(F32="","",IF(E16&gt;Reference!$B$14,"Not meaningful",IF(F32&lt;Reference!$B$18,"Dangerous",IF(F32&lt;Reference!$B$19,"Questionable",IF(F32&lt;=Reference!$B$20,"Good","Excellent")))))</f>
        <v>Good</v>
      </c>
      <c r="H32" s="17" t="n">
        <f aca="false">IF(OR(A16="",$B$26=""),"",$B$26)</f>
        <v>2</v>
      </c>
      <c r="I32" s="21" t="str">
        <f aca="false">IF(F32="","",IF(E16&gt;Reference!$B$14,"Not applicable",IF(H32="","",IF(F32&gt;=H32,"Meets minimum","Below minimum"))))</f>
        <v>Meets minimum</v>
      </c>
      <c r="J32" s="21" t="str">
        <f aca="false">IF(B32="","",IF(D32="","INCOMPLETE",IF(OR(D32="Below minimum",I32="Below minimum"),"BELOW LIMIT",IF(F32="","PASS (IR only)","PASS"))))</f>
        <v>PASS</v>
      </c>
      <c r="K32" s="6"/>
    </row>
    <row r="33" customFormat="false" ht="23.85" hidden="false" customHeight="false" outlineLevel="0" collapsed="false">
      <c r="A33" s="20" t="str">
        <f aca="false">IF(A17="","",A17)</f>
        <v>V to E (U, W earthed)</v>
      </c>
      <c r="B33" s="14" t="n">
        <f aca="false">IF(I17="","",I17)</f>
        <v>163.689515587077</v>
      </c>
      <c r="C33" s="15" t="n">
        <f aca="false">IF(OR(A17="",$B$25=""),"",$B$25)</f>
        <v>5</v>
      </c>
      <c r="D33" s="21" t="str">
        <f aca="false">IF(OR(B33="",C33=""),"",IF(B33&gt;=C33,"Meets minimum","Below minimum"))</f>
        <v>Meets minimum</v>
      </c>
      <c r="E33" s="21" t="str">
        <f aca="false">IF(J17="","",IF(J17&lt;Reference!$B$15,"Poor",IF(J17&lt;Reference!$B$16,"Questionable",IF(J17&lt;Reference!$B$17,"Acceptable","Excellent"))))</f>
        <v>Acceptable</v>
      </c>
      <c r="F33" s="15" t="n">
        <f aca="false">IF(K17="","",K17)</f>
        <v>3.01754385964912</v>
      </c>
      <c r="G33" s="21" t="str">
        <f aca="false">IF(F33="","",IF(E17&gt;Reference!$B$14,"Not meaningful",IF(F33&lt;Reference!$B$18,"Dangerous",IF(F33&lt;Reference!$B$19,"Questionable",IF(F33&lt;=Reference!$B$20,"Good","Excellent")))))</f>
        <v>Good</v>
      </c>
      <c r="H33" s="17" t="n">
        <f aca="false">IF(OR(A17="",$B$26=""),"",$B$26)</f>
        <v>2</v>
      </c>
      <c r="I33" s="21" t="str">
        <f aca="false">IF(F33="","",IF(E17&gt;Reference!$B$14,"Not applicable",IF(H33="","",IF(F33&gt;=H33,"Meets minimum","Below minimum"))))</f>
        <v>Meets minimum</v>
      </c>
      <c r="J33" s="21" t="str">
        <f aca="false">IF(B33="","",IF(D33="","INCOMPLETE",IF(OR(D33="Below minimum",I33="Below minimum"),"BELOW LIMIT",IF(F33="","PASS (IR only)","PASS"))))</f>
        <v>PASS</v>
      </c>
      <c r="K33" s="6"/>
    </row>
    <row r="34" customFormat="false" ht="23.85" hidden="false" customHeight="false" outlineLevel="0" collapsed="false">
      <c r="A34" s="20" t="str">
        <f aca="false">IF(A18="","",A18)</f>
        <v>W to E (U, V earthed)</v>
      </c>
      <c r="B34" s="14" t="n">
        <f aca="false">IF(I18="","",I18)</f>
        <v>166.56126147457</v>
      </c>
      <c r="C34" s="15" t="n">
        <f aca="false">IF(OR(A18="",$B$25=""),"",$B$25)</f>
        <v>5</v>
      </c>
      <c r="D34" s="21" t="str">
        <f aca="false">IF(OR(B34="",C34=""),"",IF(B34&gt;=C34,"Meets minimum","Below minimum"))</f>
        <v>Meets minimum</v>
      </c>
      <c r="E34" s="21" t="str">
        <f aca="false">IF(J18="","",IF(J18&lt;Reference!$B$15,"Poor",IF(J18&lt;Reference!$B$16,"Questionable",IF(J18&lt;Reference!$B$17,"Acceptable","Excellent"))))</f>
        <v>Acceptable</v>
      </c>
      <c r="F34" s="15" t="n">
        <f aca="false">IF(K18="","",K18)</f>
        <v>3</v>
      </c>
      <c r="G34" s="21" t="str">
        <f aca="false">IF(F34="","",IF(E18&gt;Reference!$B$14,"Not meaningful",IF(F34&lt;Reference!$B$18,"Dangerous",IF(F34&lt;Reference!$B$19,"Questionable",IF(F34&lt;=Reference!$B$20,"Good","Excellent")))))</f>
        <v>Good</v>
      </c>
      <c r="H34" s="17" t="n">
        <f aca="false">IF(OR(A18="",$B$26=""),"",$B$26)</f>
        <v>2</v>
      </c>
      <c r="I34" s="21" t="str">
        <f aca="false">IF(F34="","",IF(E18&gt;Reference!$B$14,"Not applicable",IF(H34="","",IF(F34&gt;=H34,"Meets minimum","Below minimum"))))</f>
        <v>Meets minimum</v>
      </c>
      <c r="J34" s="21" t="str">
        <f aca="false">IF(B34="","",IF(D34="","INCOMPLETE",IF(OR(D34="Below minimum",I34="Below minimum"),"BELOW LIMIT",IF(F34="","PASS (IR only)","PASS"))))</f>
        <v>PASS</v>
      </c>
      <c r="K34" s="6"/>
    </row>
    <row r="35" customFormat="false" ht="15" hidden="false" customHeight="false" outlineLevel="0" collapsed="false">
      <c r="A35" s="20" t="str">
        <f aca="false">IF(A19="","",A19)</f>
        <v/>
      </c>
      <c r="B35" s="14" t="str">
        <f aca="false">IF(I19="","",I19)</f>
        <v/>
      </c>
      <c r="C35" s="15" t="str">
        <f aca="false">IF(OR(A19="",$B$25=""),"",$B$25)</f>
        <v/>
      </c>
      <c r="D35" s="21" t="str">
        <f aca="false">IF(OR(B35="",C35=""),"",IF(B35&gt;=C35,"Meets minimum","Below minimum"))</f>
        <v/>
      </c>
      <c r="E35" s="21" t="str">
        <f aca="false">IF(J19="","",IF(J19&lt;Reference!$B$15,"Poor",IF(J19&lt;Reference!$B$16,"Questionable",IF(J19&lt;Reference!$B$17,"Acceptable","Excellent"))))</f>
        <v/>
      </c>
      <c r="F35" s="15" t="str">
        <f aca="false">IF(K19="","",K19)</f>
        <v/>
      </c>
      <c r="G35" s="21" t="str">
        <f aca="false">IF(F35="","",IF(E19&gt;Reference!$B$14,"Not meaningful",IF(F35&lt;Reference!$B$18,"Dangerous",IF(F35&lt;Reference!$B$19,"Questionable",IF(F35&lt;=Reference!$B$20,"Good","Excellent")))))</f>
        <v/>
      </c>
      <c r="H35" s="17" t="str">
        <f aca="false">IF(OR(A19="",$B$26=""),"",$B$26)</f>
        <v/>
      </c>
      <c r="I35" s="21" t="str">
        <f aca="false">IF(F35="","",IF(E19&gt;Reference!$B$14,"Not applicable",IF(H35="","",IF(F35&gt;=H35,"Meets minimum","Below minimum"))))</f>
        <v/>
      </c>
      <c r="J35" s="21" t="str">
        <f aca="false">IF(B35="","",IF(D35="","INCOMPLETE",IF(OR(D35="Below minimum",I35="Below minimum"),"BELOW LIMIT",IF(F35="","PASS (IR only)","PASS"))))</f>
        <v/>
      </c>
      <c r="K35" s="6"/>
    </row>
    <row r="36" customFormat="false" ht="15" hidden="false" customHeight="false" outlineLevel="0" collapsed="false">
      <c r="A36" s="20" t="str">
        <f aca="false">IF(A20="","",A20)</f>
        <v/>
      </c>
      <c r="B36" s="14" t="str">
        <f aca="false">IF(I20="","",I20)</f>
        <v/>
      </c>
      <c r="C36" s="15" t="str">
        <f aca="false">IF(OR(A20="",$B$25=""),"",$B$25)</f>
        <v/>
      </c>
      <c r="D36" s="21" t="str">
        <f aca="false">IF(OR(B36="",C36=""),"",IF(B36&gt;=C36,"Meets minimum","Below minimum"))</f>
        <v/>
      </c>
      <c r="E36" s="21" t="str">
        <f aca="false">IF(J20="","",IF(J20&lt;Reference!$B$15,"Poor",IF(J20&lt;Reference!$B$16,"Questionable",IF(J20&lt;Reference!$B$17,"Acceptable","Excellent"))))</f>
        <v/>
      </c>
      <c r="F36" s="15" t="str">
        <f aca="false">IF(K20="","",K20)</f>
        <v/>
      </c>
      <c r="G36" s="21" t="str">
        <f aca="false">IF(F36="","",IF(E20&gt;Reference!$B$14,"Not meaningful",IF(F36&lt;Reference!$B$18,"Dangerous",IF(F36&lt;Reference!$B$19,"Questionable",IF(F36&lt;=Reference!$B$20,"Good","Excellent")))))</f>
        <v/>
      </c>
      <c r="H36" s="17" t="str">
        <f aca="false">IF(OR(A20="",$B$26=""),"",$B$26)</f>
        <v/>
      </c>
      <c r="I36" s="21" t="str">
        <f aca="false">IF(F36="","",IF(E20&gt;Reference!$B$14,"Not applicable",IF(H36="","",IF(F36&gt;=H36,"Meets minimum","Below minimum"))))</f>
        <v/>
      </c>
      <c r="J36" s="21" t="str">
        <f aca="false">IF(B36="","",IF(D36="","INCOMPLETE",IF(OR(D36="Below minimum",I36="Below minimum"),"BELOW LIMIT",IF(F36="","PASS (IR only)","PASS"))))</f>
        <v/>
      </c>
      <c r="K36" s="6"/>
    </row>
    <row r="37" customFormat="false" ht="15" hidden="false" customHeight="false" outlineLevel="0" collapsed="false">
      <c r="A37" s="20" t="str">
        <f aca="false">IF(A21="","",A21)</f>
        <v/>
      </c>
      <c r="B37" s="14" t="str">
        <f aca="false">IF(I21="","",I21)</f>
        <v/>
      </c>
      <c r="C37" s="15" t="str">
        <f aca="false">IF(OR(A21="",$B$25=""),"",$B$25)</f>
        <v/>
      </c>
      <c r="D37" s="21" t="str">
        <f aca="false">IF(OR(B37="",C37=""),"",IF(B37&gt;=C37,"Meets minimum","Below minimum"))</f>
        <v/>
      </c>
      <c r="E37" s="21" t="str">
        <f aca="false">IF(J21="","",IF(J21&lt;Reference!$B$15,"Poor",IF(J21&lt;Reference!$B$16,"Questionable",IF(J21&lt;Reference!$B$17,"Acceptable","Excellent"))))</f>
        <v/>
      </c>
      <c r="F37" s="15" t="str">
        <f aca="false">IF(K21="","",K21)</f>
        <v/>
      </c>
      <c r="G37" s="21" t="str">
        <f aca="false">IF(F37="","",IF(E21&gt;Reference!$B$14,"Not meaningful",IF(F37&lt;Reference!$B$18,"Dangerous",IF(F37&lt;Reference!$B$19,"Questionable",IF(F37&lt;=Reference!$B$20,"Good","Excellent")))))</f>
        <v/>
      </c>
      <c r="H37" s="17" t="str">
        <f aca="false">IF(OR(A21="",$B$26=""),"",$B$26)</f>
        <v/>
      </c>
      <c r="I37" s="21" t="str">
        <f aca="false">IF(F37="","",IF(E21&gt;Reference!$B$14,"Not applicable",IF(H37="","",IF(F37&gt;=H37,"Meets minimum","Below minimum"))))</f>
        <v/>
      </c>
      <c r="J37" s="21" t="str">
        <f aca="false">IF(B37="","",IF(D37="","INCOMPLETE",IF(OR(D37="Below minimum",I37="Below minimum"),"BELOW LIMIT",IF(F37="","PASS (IR only)","PASS"))))</f>
        <v/>
      </c>
      <c r="K37" s="6"/>
    </row>
    <row r="39" customFormat="false" ht="18" hidden="false" customHeight="true" outlineLevel="0" collapsed="false">
      <c r="A39" s="4" t="s">
        <v>50</v>
      </c>
      <c r="B39" s="4"/>
      <c r="C39" s="4"/>
      <c r="D39" s="4"/>
      <c r="E39" s="4"/>
      <c r="F39" s="4"/>
      <c r="G39" s="4"/>
      <c r="H39" s="4"/>
      <c r="I39" s="4"/>
      <c r="J39" s="4"/>
      <c r="K39" s="4"/>
    </row>
    <row r="40" customFormat="false" ht="15" hidden="false" customHeight="false" outlineLevel="0" collapsed="false">
      <c r="A40" s="5" t="s">
        <v>51</v>
      </c>
      <c r="B40" s="22" t="str">
        <f aca="false">IF(SUMPRODUCT(--(LEN(J32:J37)&gt;0))=0,"",IF(COUNTIF(J32:J37,"BELOW LIMIT")&gt;0,"BELOW LIMIT - "&amp;COUNTIF(J32:J37,"BELOW LIMIT")&amp;" of "&amp;SUMPRODUCT(--(LEN(J32:J37)&gt;0))&amp;" connections below the minimum",IF(COUNTIF(J32:J37,"INCOMPLETE")&gt;0,"INCOMPLETE - enter winding class, rated kV and thermal class","PASS - all "&amp;SUMPRODUCT(--(LEN(J32:J37)&gt;0))&amp;" connections meet the minimums")))</f>
        <v>PASS - all 3 connections meet the minimums</v>
      </c>
      <c r="C40" s="22"/>
      <c r="D40" s="22"/>
      <c r="E40" s="22"/>
      <c r="F40" s="22"/>
      <c r="G40" s="22"/>
      <c r="H40" s="22"/>
      <c r="I40" s="22"/>
      <c r="J40" s="22"/>
      <c r="K40" s="22"/>
    </row>
    <row r="41" customFormat="false" ht="23.85" hidden="false" customHeight="false" outlineLevel="0" collapsed="false">
      <c r="A41" s="5" t="s">
        <v>52</v>
      </c>
      <c r="B41" s="14" t="n">
        <f aca="false">IF(COUNT(I16:I21)=0,"",MIN(I16:I21))</f>
        <v>163.689515587077</v>
      </c>
    </row>
    <row r="42" customFormat="false" ht="15" hidden="false" customHeight="false" outlineLevel="0" collapsed="false">
      <c r="A42" s="5" t="s">
        <v>53</v>
      </c>
      <c r="B42" s="15" t="n">
        <f aca="false">IF(COUNT(K16:K21)=0,"",MIN(K16:K21))</f>
        <v>3</v>
      </c>
    </row>
    <row r="43" customFormat="false" ht="15" hidden="false" customHeight="true" outlineLevel="0" collapsed="false">
      <c r="A43" s="5" t="s">
        <v>54</v>
      </c>
      <c r="B43" s="23" t="s">
        <v>77</v>
      </c>
      <c r="C43" s="23"/>
      <c r="D43" s="23"/>
      <c r="E43" s="23"/>
      <c r="F43" s="23"/>
      <c r="G43" s="23"/>
      <c r="H43" s="23"/>
      <c r="I43" s="23"/>
      <c r="J43" s="23"/>
      <c r="K43" s="23"/>
    </row>
    <row r="44" customFormat="false" ht="15" hidden="false" customHeight="false" outlineLevel="0" collapsed="false">
      <c r="B44" s="23"/>
      <c r="C44" s="23"/>
      <c r="D44" s="23"/>
      <c r="E44" s="23"/>
      <c r="F44" s="23"/>
      <c r="G44" s="23"/>
      <c r="H44" s="23"/>
      <c r="I44" s="23"/>
      <c r="J44" s="23"/>
      <c r="K44" s="23"/>
    </row>
    <row r="45" customFormat="false" ht="15" hidden="false" customHeight="false" outlineLevel="0" collapsed="false">
      <c r="B45" s="23"/>
      <c r="C45" s="23"/>
      <c r="D45" s="23"/>
      <c r="E45" s="23"/>
      <c r="F45" s="23"/>
      <c r="G45" s="23"/>
      <c r="H45" s="23"/>
      <c r="I45" s="23"/>
      <c r="J45" s="23"/>
      <c r="K45" s="23"/>
    </row>
    <row r="46" customFormat="false" ht="27.75" hidden="false" customHeight="true" outlineLevel="0" collapsed="false">
      <c r="A46" s="5" t="s">
        <v>55</v>
      </c>
      <c r="B46" s="6"/>
      <c r="C46" s="6"/>
      <c r="D46" s="6"/>
      <c r="E46" s="6"/>
      <c r="F46" s="24" t="s">
        <v>56</v>
      </c>
      <c r="G46" s="24"/>
      <c r="H46" s="6"/>
      <c r="I46" s="6"/>
      <c r="J46" s="6"/>
      <c r="K46" s="6"/>
    </row>
    <row r="48" customFormat="false" ht="18" hidden="false" customHeight="true" outlineLevel="0" collapsed="false">
      <c r="A48" s="4" t="s">
        <v>57</v>
      </c>
      <c r="B48" s="4"/>
      <c r="C48" s="4"/>
      <c r="D48" s="4"/>
      <c r="E48" s="4"/>
      <c r="F48" s="4"/>
      <c r="G48" s="4"/>
      <c r="H48" s="4"/>
      <c r="I48" s="4"/>
      <c r="J48" s="4"/>
      <c r="K48" s="4"/>
    </row>
    <row r="49" customFormat="false" ht="25.5" hidden="false" customHeight="true" outlineLevel="0" collapsed="false">
      <c r="A49" s="16" t="s">
        <v>58</v>
      </c>
      <c r="B49" s="16"/>
      <c r="C49" s="16"/>
      <c r="D49" s="16"/>
      <c r="E49" s="16"/>
      <c r="F49" s="16"/>
      <c r="G49" s="16"/>
      <c r="H49" s="16"/>
      <c r="I49" s="16"/>
      <c r="J49" s="16"/>
      <c r="K49" s="16"/>
    </row>
    <row r="50" customFormat="false" ht="25.5" hidden="false" customHeight="true" outlineLevel="0" collapsed="false">
      <c r="A50" s="16" t="s">
        <v>59</v>
      </c>
      <c r="B50" s="16"/>
      <c r="C50" s="16"/>
      <c r="D50" s="16"/>
      <c r="E50" s="16"/>
      <c r="F50" s="16"/>
      <c r="G50" s="16"/>
      <c r="H50" s="16"/>
      <c r="I50" s="16"/>
      <c r="J50" s="16"/>
      <c r="K50" s="16"/>
    </row>
    <row r="51" customFormat="false" ht="25.5" hidden="false" customHeight="true" outlineLevel="0" collapsed="false">
      <c r="A51" s="16" t="s">
        <v>60</v>
      </c>
      <c r="B51" s="16"/>
      <c r="C51" s="16"/>
      <c r="D51" s="16"/>
      <c r="E51" s="16"/>
      <c r="F51" s="16"/>
      <c r="G51" s="16"/>
      <c r="H51" s="16"/>
      <c r="I51" s="16"/>
      <c r="J51" s="16"/>
      <c r="K51" s="16"/>
    </row>
    <row r="52" customFormat="false" ht="25.5" hidden="false" customHeight="true" outlineLevel="0" collapsed="false">
      <c r="A52" s="16" t="s">
        <v>61</v>
      </c>
      <c r="B52" s="16"/>
      <c r="C52" s="16"/>
      <c r="D52" s="16"/>
      <c r="E52" s="16"/>
      <c r="F52" s="16"/>
      <c r="G52" s="16"/>
      <c r="H52" s="16"/>
      <c r="I52" s="16"/>
      <c r="J52" s="16"/>
      <c r="K52" s="16"/>
    </row>
    <row r="53" customFormat="false" ht="25.5" hidden="false" customHeight="true" outlineLevel="0" collapsed="false">
      <c r="A53" s="16" t="s">
        <v>62</v>
      </c>
      <c r="B53" s="16"/>
      <c r="C53" s="16"/>
      <c r="D53" s="16"/>
      <c r="E53" s="16"/>
      <c r="F53" s="16"/>
      <c r="G53" s="16"/>
      <c r="H53" s="16"/>
      <c r="I53" s="16"/>
      <c r="J53" s="16"/>
      <c r="K53" s="16"/>
    </row>
  </sheetData>
  <sheetProtection sheet="true" formatColumns="false" formatRows="false"/>
  <mergeCells count="45">
    <mergeCell ref="A1:K1"/>
    <mergeCell ref="A2:K2"/>
    <mergeCell ref="A3:K3"/>
    <mergeCell ref="A5:K5"/>
    <mergeCell ref="B6:D6"/>
    <mergeCell ref="E6:F6"/>
    <mergeCell ref="G6:K6"/>
    <mergeCell ref="B7:D7"/>
    <mergeCell ref="E7:F7"/>
    <mergeCell ref="G7:K7"/>
    <mergeCell ref="B8:D8"/>
    <mergeCell ref="E8:F8"/>
    <mergeCell ref="G8:K8"/>
    <mergeCell ref="B9:D9"/>
    <mergeCell ref="E9:F9"/>
    <mergeCell ref="G9:K9"/>
    <mergeCell ref="B10:D10"/>
    <mergeCell ref="E10:F10"/>
    <mergeCell ref="G10:K10"/>
    <mergeCell ref="B11:D11"/>
    <mergeCell ref="E11:F11"/>
    <mergeCell ref="G11:K11"/>
    <mergeCell ref="B12:D12"/>
    <mergeCell ref="E12:F12"/>
    <mergeCell ref="G12:K12"/>
    <mergeCell ref="A14:K14"/>
    <mergeCell ref="A22:K22"/>
    <mergeCell ref="A24:K24"/>
    <mergeCell ref="C25:K25"/>
    <mergeCell ref="C26:K26"/>
    <mergeCell ref="E27:K27"/>
    <mergeCell ref="B28:D28"/>
    <mergeCell ref="A30:K30"/>
    <mergeCell ref="A39:K39"/>
    <mergeCell ref="B40:K40"/>
    <mergeCell ref="B43:K45"/>
    <mergeCell ref="B46:E46"/>
    <mergeCell ref="F46:G46"/>
    <mergeCell ref="H46:K46"/>
    <mergeCell ref="A48:K48"/>
    <mergeCell ref="A49:K49"/>
    <mergeCell ref="A50:K50"/>
    <mergeCell ref="A51:K51"/>
    <mergeCell ref="A52:K52"/>
    <mergeCell ref="A53:K53"/>
  </mergeCells>
  <conditionalFormatting sqref="B28">
    <cfRule type="expression" priority="2" aboveAverage="0" equalAverage="0" bottom="0" percent="0" rank="0" text="" dxfId="0">
      <formula>OR(ISNUMBER(SEARCH("BELOW",B28)),ISNUMBER(SEARCH("Dangerous",B28)),ISNUMBER(SEARCH("Outside",B28)),ISNUMBER(SEARCH("FAIL",B28)),ISNUMBER(SEARCH("Not OK",B28)),ISNUMBER(SEARCH("Invalid",B28)),ISNUMBER(SEARCH("Not valid",B28)))</formula>
    </cfRule>
    <cfRule type="expression" priority="3" aboveAverage="0" equalAverage="0" bottom="0" percent="0" rank="0" text="" dxfId="1">
      <formula>OR(ISNUMBER(SEARCH("REVIEW",B28)),ISNUMBER(SEARCH("INCOMPLETE",B28)),ISNUMBER(SEARCH("Questionable",B28)),ISNUMBER(SEARCH("Poor",B28)),ISNUMBER(SEARCH("Check",B28)))</formula>
    </cfRule>
    <cfRule type="expression" priority="4" aboveAverage="0" equalAverage="0" bottom="0" percent="0" rank="0" text="" dxfId="2">
      <formula>OR(ISNUMBER(SEARCH("PASS",B28)),ISNUMBER(SEARCH("Meets",B28)),ISNUMBER(SEARCH("Good",B28)),ISNUMBER(SEARCH("Excellent",B28)),ISNUMBER(SEARCH("Acceptable",B28)),ISNUMBER(SEARCH("Within",B28)),ISNUMBER(SEARCH("Valid",B28)),ISNUMBER(SEARCH("OK",B28)))</formula>
    </cfRule>
  </conditionalFormatting>
  <conditionalFormatting sqref="D32:D37">
    <cfRule type="expression" priority="5" aboveAverage="0" equalAverage="0" bottom="0" percent="0" rank="0" text="" dxfId="0">
      <formula>OR(ISNUMBER(SEARCH("BELOW",D32)),ISNUMBER(SEARCH("Dangerous",D32)),ISNUMBER(SEARCH("Outside",D32)),ISNUMBER(SEARCH("FAIL",D32)),ISNUMBER(SEARCH("Not OK",D32)),ISNUMBER(SEARCH("Invalid",D32)),ISNUMBER(SEARCH("Not valid",D32)))</formula>
    </cfRule>
    <cfRule type="expression" priority="6" aboveAverage="0" equalAverage="0" bottom="0" percent="0" rank="0" text="" dxfId="1">
      <formula>OR(ISNUMBER(SEARCH("REVIEW",D32)),ISNUMBER(SEARCH("INCOMPLETE",D32)),ISNUMBER(SEARCH("Questionable",D32)),ISNUMBER(SEARCH("Poor",D32)),ISNUMBER(SEARCH("Check",D32)))</formula>
    </cfRule>
    <cfRule type="expression" priority="7" aboveAverage="0" equalAverage="0" bottom="0" percent="0" rank="0" text="" dxfId="2">
      <formula>OR(ISNUMBER(SEARCH("PASS",D32)),ISNUMBER(SEARCH("Meets",D32)),ISNUMBER(SEARCH("Good",D32)),ISNUMBER(SEARCH("Excellent",D32)),ISNUMBER(SEARCH("Acceptable",D32)),ISNUMBER(SEARCH("Within",D32)),ISNUMBER(SEARCH("Valid",D32)),ISNUMBER(SEARCH("OK",D32)))</formula>
    </cfRule>
  </conditionalFormatting>
  <conditionalFormatting sqref="E32:E37">
    <cfRule type="expression" priority="8" aboveAverage="0" equalAverage="0" bottom="0" percent="0" rank="0" text="" dxfId="0">
      <formula>OR(ISNUMBER(SEARCH("BELOW",E32)),ISNUMBER(SEARCH("Dangerous",E32)),ISNUMBER(SEARCH("Outside",E32)),ISNUMBER(SEARCH("FAIL",E32)),ISNUMBER(SEARCH("Not OK",E32)),ISNUMBER(SEARCH("Invalid",E32)),ISNUMBER(SEARCH("Not valid",E32)))</formula>
    </cfRule>
    <cfRule type="expression" priority="9" aboveAverage="0" equalAverage="0" bottom="0" percent="0" rank="0" text="" dxfId="1">
      <formula>OR(ISNUMBER(SEARCH("REVIEW",E32)),ISNUMBER(SEARCH("INCOMPLETE",E32)),ISNUMBER(SEARCH("Questionable",E32)),ISNUMBER(SEARCH("Poor",E32)),ISNUMBER(SEARCH("Check",E32)))</formula>
    </cfRule>
    <cfRule type="expression" priority="10" aboveAverage="0" equalAverage="0" bottom="0" percent="0" rank="0" text="" dxfId="2">
      <formula>OR(ISNUMBER(SEARCH("PASS",E32)),ISNUMBER(SEARCH("Meets",E32)),ISNUMBER(SEARCH("Good",E32)),ISNUMBER(SEARCH("Excellent",E32)),ISNUMBER(SEARCH("Acceptable",E32)),ISNUMBER(SEARCH("Within",E32)),ISNUMBER(SEARCH("Valid",E32)),ISNUMBER(SEARCH("OK",E32)))</formula>
    </cfRule>
  </conditionalFormatting>
  <conditionalFormatting sqref="G32:G37">
    <cfRule type="expression" priority="11" aboveAverage="0" equalAverage="0" bottom="0" percent="0" rank="0" text="" dxfId="0">
      <formula>OR(ISNUMBER(SEARCH("BELOW",G32)),ISNUMBER(SEARCH("Dangerous",G32)),ISNUMBER(SEARCH("Outside",G32)),ISNUMBER(SEARCH("FAIL",G32)),ISNUMBER(SEARCH("Not OK",G32)),ISNUMBER(SEARCH("Invalid",G32)),ISNUMBER(SEARCH("Not valid",G32)))</formula>
    </cfRule>
    <cfRule type="expression" priority="12" aboveAverage="0" equalAverage="0" bottom="0" percent="0" rank="0" text="" dxfId="1">
      <formula>OR(ISNUMBER(SEARCH("REVIEW",G32)),ISNUMBER(SEARCH("INCOMPLETE",G32)),ISNUMBER(SEARCH("Questionable",G32)),ISNUMBER(SEARCH("Poor",G32)),ISNUMBER(SEARCH("Check",G32)))</formula>
    </cfRule>
    <cfRule type="expression" priority="13" aboveAverage="0" equalAverage="0" bottom="0" percent="0" rank="0" text="" dxfId="2">
      <formula>OR(ISNUMBER(SEARCH("PASS",G32)),ISNUMBER(SEARCH("Meets",G32)),ISNUMBER(SEARCH("Good",G32)),ISNUMBER(SEARCH("Excellent",G32)),ISNUMBER(SEARCH("Acceptable",G32)),ISNUMBER(SEARCH("Within",G32)),ISNUMBER(SEARCH("Valid",G32)),ISNUMBER(SEARCH("OK",G32)))</formula>
    </cfRule>
  </conditionalFormatting>
  <conditionalFormatting sqref="I32:I37">
    <cfRule type="expression" priority="14" aboveAverage="0" equalAverage="0" bottom="0" percent="0" rank="0" text="" dxfId="0">
      <formula>OR(ISNUMBER(SEARCH("BELOW",I32)),ISNUMBER(SEARCH("Dangerous",I32)),ISNUMBER(SEARCH("Outside",I32)),ISNUMBER(SEARCH("FAIL",I32)),ISNUMBER(SEARCH("Not OK",I32)),ISNUMBER(SEARCH("Invalid",I32)),ISNUMBER(SEARCH("Not valid",I32)))</formula>
    </cfRule>
    <cfRule type="expression" priority="15" aboveAverage="0" equalAverage="0" bottom="0" percent="0" rank="0" text="" dxfId="1">
      <formula>OR(ISNUMBER(SEARCH("REVIEW",I32)),ISNUMBER(SEARCH("INCOMPLETE",I32)),ISNUMBER(SEARCH("Questionable",I32)),ISNUMBER(SEARCH("Poor",I32)),ISNUMBER(SEARCH("Check",I32)))</formula>
    </cfRule>
    <cfRule type="expression" priority="16" aboveAverage="0" equalAverage="0" bottom="0" percent="0" rank="0" text="" dxfId="2">
      <formula>OR(ISNUMBER(SEARCH("PASS",I32)),ISNUMBER(SEARCH("Meets",I32)),ISNUMBER(SEARCH("Good",I32)),ISNUMBER(SEARCH("Excellent",I32)),ISNUMBER(SEARCH("Acceptable",I32)),ISNUMBER(SEARCH("Within",I32)),ISNUMBER(SEARCH("Valid",I32)),ISNUMBER(SEARCH("OK",I32)))</formula>
    </cfRule>
  </conditionalFormatting>
  <conditionalFormatting sqref="J32:J37">
    <cfRule type="expression" priority="17" aboveAverage="0" equalAverage="0" bottom="0" percent="0" rank="0" text="" dxfId="0">
      <formula>OR(ISNUMBER(SEARCH("BELOW",J32)),ISNUMBER(SEARCH("Dangerous",J32)),ISNUMBER(SEARCH("Outside",J32)),ISNUMBER(SEARCH("FAIL",J32)),ISNUMBER(SEARCH("Not OK",J32)),ISNUMBER(SEARCH("Invalid",J32)),ISNUMBER(SEARCH("Not valid",J32)))</formula>
    </cfRule>
    <cfRule type="expression" priority="18" aboveAverage="0" equalAverage="0" bottom="0" percent="0" rank="0" text="" dxfId="1">
      <formula>OR(ISNUMBER(SEARCH("REVIEW",J32)),ISNUMBER(SEARCH("INCOMPLETE",J32)),ISNUMBER(SEARCH("Questionable",J32)),ISNUMBER(SEARCH("Poor",J32)),ISNUMBER(SEARCH("Check",J32)))</formula>
    </cfRule>
    <cfRule type="expression" priority="19" aboveAverage="0" equalAverage="0" bottom="0" percent="0" rank="0" text="" dxfId="2">
      <formula>OR(ISNUMBER(SEARCH("PASS",J32)),ISNUMBER(SEARCH("Meets",J32)),ISNUMBER(SEARCH("Good",J32)),ISNUMBER(SEARCH("Excellent",J32)),ISNUMBER(SEARCH("Acceptable",J32)),ISNUMBER(SEARCH("Within",J32)),ISNUMBER(SEARCH("Valid",J32)),ISNUMBER(SEARCH("OK",J32)))</formula>
    </cfRule>
  </conditionalFormatting>
  <conditionalFormatting sqref="B40">
    <cfRule type="expression" priority="20" aboveAverage="0" equalAverage="0" bottom="0" percent="0" rank="0" text="" dxfId="0">
      <formula>OR(ISNUMBER(SEARCH("BELOW",B40)),ISNUMBER(SEARCH("Dangerous",B40)),ISNUMBER(SEARCH("Outside",B40)),ISNUMBER(SEARCH("FAIL",B40)),ISNUMBER(SEARCH("Not OK",B40)),ISNUMBER(SEARCH("Invalid",B40)),ISNUMBER(SEARCH("Not valid",B40)))</formula>
    </cfRule>
    <cfRule type="expression" priority="21" aboveAverage="0" equalAverage="0" bottom="0" percent="0" rank="0" text="" dxfId="1">
      <formula>OR(ISNUMBER(SEARCH("REVIEW",B40)),ISNUMBER(SEARCH("INCOMPLETE",B40)),ISNUMBER(SEARCH("Questionable",B40)),ISNUMBER(SEARCH("Poor",B40)),ISNUMBER(SEARCH("Check",B40)))</formula>
    </cfRule>
    <cfRule type="expression" priority="22" aboveAverage="0" equalAverage="0" bottom="0" percent="0" rank="0" text="" dxfId="2">
      <formula>OR(ISNUMBER(SEARCH("PASS",B40)),ISNUMBER(SEARCH("Meets",B40)),ISNUMBER(SEARCH("Good",B40)),ISNUMBER(SEARCH("Excellent",B40)),ISNUMBER(SEARCH("Acceptable",B40)),ISNUMBER(SEARCH("Within",B40)),ISNUMBER(SEARCH("Valid",B40)),ISNUMBER(SEARCH("OK",B40)))</formula>
    </cfRule>
  </conditionalFormatting>
  <dataValidations count="6">
    <dataValidation allowBlank="true" error="Pick a value from the list" errorStyle="stop" errorTitle="Invalid entry" operator="between" showDropDown="false" showErrorMessage="false" showInputMessage="false" sqref="G8" type="list">
      <formula1>"Pre-1970 windings,field windings and others (kV + 1 MΩ),Form-wound,built after about 1970 (100 MΩ),Random-wound,or form-wound below 1 kV (5 MΩ)"</formula1>
      <formula2>0</formula2>
    </dataValidation>
    <dataValidation allowBlank="true" error="Pick a value from the list" errorStyle="stop" errorTitle="Invalid entry" operator="between" showDropDown="false" showErrorMessage="false" showInputMessage="false" sqref="B9" type="list">
      <formula1>"A,B,F,H"</formula1>
      <formula2>0</formula2>
    </dataValidation>
    <dataValidation allowBlank="true" error="Enter a number" errorStyle="stop" errorTitle="Invalid entry" operator="greaterThanOrEqual" showDropDown="false" showErrorMessage="false" showInputMessage="false" sqref="B8" type="decimal">
      <formula1>0</formula1>
      <formula2>0</formula2>
    </dataValidation>
    <dataValidation allowBlank="true" error="Enter a number" errorStyle="stop" errorTitle="Invalid entry" operator="greaterThanOrEqual" showDropDown="false" showErrorMessage="false" showInputMessage="false" sqref="G9" type="decimal">
      <formula1>0</formula1>
      <formula2>0</formula2>
    </dataValidation>
    <dataValidation allowBlank="true" error="Enter a number" errorStyle="stop" errorTitle="Invalid entry" operator="greaterThanOrEqual" showDropDown="false" showErrorMessage="false" showInputMessage="false" sqref="B10" type="decimal">
      <formula1>-50</formula1>
      <formula2>0</formula2>
    </dataValidation>
    <dataValidation allowBlank="true" error="Enter a number" errorStyle="stop" errorTitle="Invalid entry" operator="greaterThanOrEqual" showDropDown="false" showErrorMessage="false" showInputMessage="false" sqref="B16:F21" type="decimal">
      <formula1>0</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Cambridge Instruments Engg. Co. (CIE), Howrah  |  cieinstruments.in&amp;R&amp;8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18"/>
    <col collapsed="false" customWidth="true" hidden="false" outlineLevel="0" max="4" min="4" style="0" width="70"/>
  </cols>
  <sheetData>
    <row r="1" customFormat="false" ht="30" hidden="false" customHeight="true" outlineLevel="0" collapsed="false">
      <c r="A1" s="1" t="s">
        <v>78</v>
      </c>
      <c r="B1" s="1"/>
      <c r="C1" s="1"/>
      <c r="D1" s="1"/>
    </row>
    <row r="2" customFormat="false" ht="25.5" hidden="false" customHeight="true" outlineLevel="0" collapsed="false">
      <c r="A2" s="2" t="s">
        <v>79</v>
      </c>
      <c r="B2" s="2"/>
      <c r="C2" s="2"/>
      <c r="D2" s="2"/>
    </row>
    <row r="3" customFormat="false" ht="15" hidden="false" customHeight="false" outlineLevel="0" collapsed="false">
      <c r="A3" s="3" t="s">
        <v>2</v>
      </c>
      <c r="B3" s="3"/>
      <c r="C3" s="3"/>
      <c r="D3" s="3"/>
    </row>
    <row r="5" customFormat="false" ht="18" hidden="false" customHeight="true" outlineLevel="0" collapsed="false">
      <c r="A5" s="4" t="s">
        <v>80</v>
      </c>
      <c r="B5" s="4"/>
      <c r="C5" s="4"/>
      <c r="D5" s="4"/>
    </row>
    <row r="6" customFormat="false" ht="15" hidden="false" customHeight="false" outlineLevel="0" collapsed="false">
      <c r="A6" s="11" t="s">
        <v>81</v>
      </c>
      <c r="B6" s="11" t="s">
        <v>82</v>
      </c>
      <c r="C6" s="11" t="s">
        <v>83</v>
      </c>
      <c r="D6" s="11" t="s">
        <v>84</v>
      </c>
    </row>
    <row r="7" customFormat="false" ht="27.75" hidden="false" customHeight="true" outlineLevel="0" collapsed="false">
      <c r="A7" s="26" t="s">
        <v>85</v>
      </c>
      <c r="B7" s="27" t="n">
        <v>1</v>
      </c>
      <c r="C7" s="28" t="s">
        <v>86</v>
      </c>
      <c r="D7" s="29" t="s">
        <v>87</v>
      </c>
    </row>
    <row r="8" customFormat="false" ht="27.75" hidden="false" customHeight="true" outlineLevel="0" collapsed="false">
      <c r="A8" s="26" t="s">
        <v>88</v>
      </c>
      <c r="B8" s="27" t="n">
        <v>100</v>
      </c>
      <c r="C8" s="28" t="s">
        <v>89</v>
      </c>
      <c r="D8" s="29" t="s">
        <v>90</v>
      </c>
    </row>
    <row r="9" customFormat="false" ht="27.75" hidden="false" customHeight="true" outlineLevel="0" collapsed="false">
      <c r="A9" s="26" t="s">
        <v>91</v>
      </c>
      <c r="B9" s="27" t="n">
        <v>5</v>
      </c>
      <c r="C9" s="28" t="s">
        <v>89</v>
      </c>
      <c r="D9" s="29" t="s">
        <v>90</v>
      </c>
    </row>
    <row r="10" customFormat="false" ht="27.75" hidden="false" customHeight="true" outlineLevel="0" collapsed="false">
      <c r="A10" s="26" t="s">
        <v>92</v>
      </c>
      <c r="B10" s="30" t="n">
        <v>1.5</v>
      </c>
      <c r="C10" s="28" t="s">
        <v>93</v>
      </c>
      <c r="D10" s="29" t="s">
        <v>94</v>
      </c>
    </row>
    <row r="11" customFormat="false" ht="27.75" hidden="false" customHeight="true" outlineLevel="0" collapsed="false">
      <c r="A11" s="26" t="s">
        <v>95</v>
      </c>
      <c r="B11" s="30" t="n">
        <v>2</v>
      </c>
      <c r="C11" s="28" t="s">
        <v>93</v>
      </c>
      <c r="D11" s="29" t="s">
        <v>94</v>
      </c>
    </row>
    <row r="12" customFormat="false" ht="27.75" hidden="false" customHeight="true" outlineLevel="0" collapsed="false">
      <c r="A12" s="26" t="s">
        <v>96</v>
      </c>
      <c r="B12" s="27" t="n">
        <v>40</v>
      </c>
      <c r="C12" s="28" t="s">
        <v>97</v>
      </c>
      <c r="D12" s="29" t="s">
        <v>98</v>
      </c>
    </row>
    <row r="13" customFormat="false" ht="27.75" hidden="false" customHeight="true" outlineLevel="0" collapsed="false">
      <c r="A13" s="26" t="s">
        <v>99</v>
      </c>
      <c r="B13" s="27" t="n">
        <v>10</v>
      </c>
      <c r="C13" s="28" t="s">
        <v>97</v>
      </c>
      <c r="D13" s="29" t="s">
        <v>100</v>
      </c>
    </row>
    <row r="14" customFormat="false" ht="27.75" hidden="false" customHeight="true" outlineLevel="0" collapsed="false">
      <c r="A14" s="26" t="s">
        <v>101</v>
      </c>
      <c r="B14" s="27" t="n">
        <v>5000</v>
      </c>
      <c r="C14" s="28" t="s">
        <v>89</v>
      </c>
      <c r="D14" s="29" t="s">
        <v>102</v>
      </c>
    </row>
    <row r="15" customFormat="false" ht="27.75" hidden="false" customHeight="true" outlineLevel="0" collapsed="false">
      <c r="A15" s="26" t="s">
        <v>103</v>
      </c>
      <c r="B15" s="30" t="n">
        <v>1</v>
      </c>
      <c r="C15" s="28" t="s">
        <v>93</v>
      </c>
      <c r="D15" s="29" t="s">
        <v>104</v>
      </c>
    </row>
    <row r="16" customFormat="false" ht="27.75" hidden="false" customHeight="true" outlineLevel="0" collapsed="false">
      <c r="A16" s="26" t="s">
        <v>105</v>
      </c>
      <c r="B16" s="30" t="n">
        <v>1.25</v>
      </c>
      <c r="C16" s="28" t="s">
        <v>93</v>
      </c>
      <c r="D16" s="29" t="s">
        <v>106</v>
      </c>
    </row>
    <row r="17" customFormat="false" ht="27.75" hidden="false" customHeight="true" outlineLevel="0" collapsed="false">
      <c r="A17" s="26" t="s">
        <v>107</v>
      </c>
      <c r="B17" s="30" t="n">
        <v>1.6</v>
      </c>
      <c r="C17" s="28" t="s">
        <v>93</v>
      </c>
      <c r="D17" s="29" t="s">
        <v>106</v>
      </c>
    </row>
    <row r="18" customFormat="false" ht="27.75" hidden="false" customHeight="true" outlineLevel="0" collapsed="false">
      <c r="A18" s="26" t="s">
        <v>108</v>
      </c>
      <c r="B18" s="30" t="n">
        <v>1</v>
      </c>
      <c r="C18" s="28" t="s">
        <v>93</v>
      </c>
      <c r="D18" s="29" t="s">
        <v>104</v>
      </c>
    </row>
    <row r="19" customFormat="false" ht="27.75" hidden="false" customHeight="true" outlineLevel="0" collapsed="false">
      <c r="A19" s="26" t="s">
        <v>109</v>
      </c>
      <c r="B19" s="30" t="n">
        <v>2</v>
      </c>
      <c r="C19" s="28" t="s">
        <v>93</v>
      </c>
      <c r="D19" s="29" t="s">
        <v>106</v>
      </c>
    </row>
    <row r="20" customFormat="false" ht="27.75" hidden="false" customHeight="true" outlineLevel="0" collapsed="false">
      <c r="A20" s="26" t="s">
        <v>110</v>
      </c>
      <c r="B20" s="30" t="n">
        <v>4</v>
      </c>
      <c r="C20" s="28" t="s">
        <v>93</v>
      </c>
      <c r="D20" s="29" t="s">
        <v>106</v>
      </c>
    </row>
    <row r="23" customFormat="false" ht="18" hidden="false" customHeight="true" outlineLevel="0" collapsed="false">
      <c r="A23" s="4" t="s">
        <v>111</v>
      </c>
      <c r="B23" s="4"/>
      <c r="C23" s="4"/>
      <c r="D23" s="4"/>
    </row>
    <row r="24" customFormat="false" ht="22.35" hidden="false" customHeight="false" outlineLevel="0" collapsed="false">
      <c r="A24" s="11" t="s">
        <v>112</v>
      </c>
      <c r="B24" s="11" t="s">
        <v>113</v>
      </c>
      <c r="C24" s="11" t="s">
        <v>114</v>
      </c>
      <c r="D24" s="11" t="s">
        <v>115</v>
      </c>
    </row>
    <row r="25" customFormat="false" ht="15" hidden="false" customHeight="false" outlineLevel="0" collapsed="false">
      <c r="A25" s="31" t="n">
        <v>1</v>
      </c>
      <c r="B25" s="27" t="n">
        <v>500</v>
      </c>
      <c r="C25" s="27" t="n">
        <v>500</v>
      </c>
      <c r="D25" s="29" t="s">
        <v>116</v>
      </c>
    </row>
    <row r="26" customFormat="false" ht="15" hidden="false" customHeight="false" outlineLevel="0" collapsed="false">
      <c r="A26" s="31" t="n">
        <v>2.5</v>
      </c>
      <c r="B26" s="27" t="n">
        <v>500</v>
      </c>
      <c r="C26" s="27" t="n">
        <v>1000</v>
      </c>
      <c r="D26" s="29" t="s">
        <v>117</v>
      </c>
    </row>
    <row r="27" customFormat="false" ht="15" hidden="false" customHeight="false" outlineLevel="0" collapsed="false">
      <c r="A27" s="31" t="n">
        <v>5</v>
      </c>
      <c r="B27" s="27" t="n">
        <v>1000</v>
      </c>
      <c r="C27" s="27" t="n">
        <v>2500</v>
      </c>
      <c r="D27" s="29" t="s">
        <v>118</v>
      </c>
    </row>
    <row r="28" customFormat="false" ht="15" hidden="false" customHeight="false" outlineLevel="0" collapsed="false">
      <c r="A28" s="31" t="n">
        <v>12</v>
      </c>
      <c r="B28" s="27" t="n">
        <v>2500</v>
      </c>
      <c r="C28" s="27" t="n">
        <v>5000</v>
      </c>
      <c r="D28" s="29" t="s">
        <v>119</v>
      </c>
    </row>
    <row r="29" customFormat="false" ht="15" hidden="false" customHeight="false" outlineLevel="0" collapsed="false">
      <c r="A29" s="31" t="n">
        <v>1000</v>
      </c>
      <c r="B29" s="27" t="n">
        <v>5000</v>
      </c>
      <c r="C29" s="27" t="n">
        <v>10000</v>
      </c>
      <c r="D29" s="29" t="s">
        <v>120</v>
      </c>
    </row>
    <row r="32" customFormat="false" ht="18" hidden="false" customHeight="true" outlineLevel="0" collapsed="false">
      <c r="A32" s="4" t="s">
        <v>121</v>
      </c>
      <c r="B32" s="4"/>
      <c r="C32" s="4"/>
      <c r="D32" s="4"/>
    </row>
    <row r="33" customFormat="false" ht="43.5" hidden="false" customHeight="true" outlineLevel="0" collapsed="false">
      <c r="A33" s="32" t="s">
        <v>122</v>
      </c>
      <c r="B33" s="32"/>
      <c r="C33" s="32"/>
      <c r="D33" s="32"/>
    </row>
    <row r="34" customFormat="false" ht="43.5" hidden="false" customHeight="true" outlineLevel="0" collapsed="false">
      <c r="A34" s="32" t="s">
        <v>123</v>
      </c>
      <c r="B34" s="32"/>
      <c r="C34" s="32"/>
      <c r="D34" s="32"/>
    </row>
    <row r="35" customFormat="false" ht="43.5" hidden="false" customHeight="true" outlineLevel="0" collapsed="false">
      <c r="A35" s="32" t="s">
        <v>124</v>
      </c>
      <c r="B35" s="32"/>
      <c r="C35" s="32"/>
      <c r="D35" s="32"/>
    </row>
    <row r="36" customFormat="false" ht="43.5" hidden="false" customHeight="true" outlineLevel="0" collapsed="false">
      <c r="A36" s="32" t="s">
        <v>125</v>
      </c>
      <c r="B36" s="32"/>
      <c r="C36" s="32"/>
      <c r="D36" s="32"/>
    </row>
    <row r="37" customFormat="false" ht="43.5" hidden="false" customHeight="true" outlineLevel="0" collapsed="false">
      <c r="A37" s="32" t="s">
        <v>126</v>
      </c>
      <c r="B37" s="32"/>
      <c r="C37" s="32"/>
      <c r="D37" s="32"/>
    </row>
    <row r="38" customFormat="false" ht="43.5" hidden="false" customHeight="true" outlineLevel="0" collapsed="false">
      <c r="A38" s="32" t="s">
        <v>127</v>
      </c>
      <c r="B38" s="32"/>
      <c r="C38" s="32"/>
      <c r="D38" s="32"/>
    </row>
  </sheetData>
  <sheetProtection sheet="true" formatColumns="false" formatRows="false"/>
  <mergeCells count="12">
    <mergeCell ref="A1:D1"/>
    <mergeCell ref="A2:D2"/>
    <mergeCell ref="A3:D3"/>
    <mergeCell ref="A5:D5"/>
    <mergeCell ref="A23:D23"/>
    <mergeCell ref="A32:D32"/>
    <mergeCell ref="A33:D33"/>
    <mergeCell ref="A34:D34"/>
    <mergeCell ref="A35:D35"/>
    <mergeCell ref="A36:D36"/>
    <mergeCell ref="A37:D37"/>
    <mergeCell ref="A38:D38"/>
  </mergeCell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Cambridge Instruments Engg. Co. (CIE), Howrah  |  cieinstruments.in&amp;R&amp;8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2026-10-18T09:06:11Z</dcterms:created>
  <dc:creator>openpyxl</dc:creator>
  <dc:description/>
  <dc:language>en-US</dc:language>
  <cp:lastModifiedBy/>
  <dcterms:modified xsi:type="dcterms:W3CDTF">2026-10-18T09:06:11Z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