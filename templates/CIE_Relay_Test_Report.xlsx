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port" sheetId="1" state="visible" r:id="rId3"/>
    <sheet name="Example" sheetId="2" state="visible" r:id="rId4"/>
    <sheet name="Reference" sheetId="3" state="visible" r:id="rId5"/>
  </sheets>
  <definedNames>
    <definedName function="false" hidden="false" localSheetId="1" name="_xlnm.Print_Area" vbProcedure="false">Example!$A$1:$I$86</definedName>
    <definedName function="false" hidden="false" localSheetId="0" name="_xlnm.Print_Area" vbProcedure="false">Report!$A$1:$I$86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<sst xmlns="http://schemas.openxmlformats.org/spreadsheetml/2006/main" count="208" uniqueCount="116">
  <si>
    <t xml:space="preserve">OVERCURRENT RELAY SECONDARY INJECTION TEST REPORT</t>
  </si>
  <si>
    <t xml:space="preserve">Phase overcurrent (50/51): pickup, drop-off, inverse-time operating times and high-set element, with expected values calculated from the settings</t>
  </si>
  <si>
    <t xml:space="preserve">Enter data in the blue-on-yellow cells. Grey cells are calculated and locked (sheet protection has no password: Review &gt; Unprotect Sheet).</t>
  </si>
  <si>
    <t xml:space="preserve">1. Job and equipment details</t>
  </si>
  <si>
    <t xml:space="preserve">Customer / site</t>
  </si>
  <si>
    <t xml:space="preserve">Feeder / panel ID</t>
  </si>
  <si>
    <t xml:space="preserve">Relay make and model</t>
  </si>
  <si>
    <t xml:space="preserve">Relay serial number</t>
  </si>
  <si>
    <t xml:space="preserve">Test set model</t>
  </si>
  <si>
    <t xml:space="preserve">Test set serial and calibration due</t>
  </si>
  <si>
    <t xml:space="preserve">Test date</t>
  </si>
  <si>
    <t xml:space="preserve">Auxiliary supply voltage</t>
  </si>
  <si>
    <t xml:space="preserve">Tested by</t>
  </si>
  <si>
    <t xml:space="preserve">Witnessed or reviewed by</t>
  </si>
  <si>
    <t xml:space="preserve">2. Relay settings (from the setting sheet)</t>
  </si>
  <si>
    <t xml:space="preserve">CT ratio: primary (A)</t>
  </si>
  <si>
    <t xml:space="preserve">CT secondary (A)</t>
  </si>
  <si>
    <t xml:space="preserve">Operating characteristic</t>
  </si>
  <si>
    <t xml:space="preserve">Relay function tested</t>
  </si>
  <si>
    <t xml:space="preserve">Pickup setting Is (A primary)</t>
  </si>
  <si>
    <t xml:space="preserve">Time multiplier setting TMS</t>
  </si>
  <si>
    <t xml:space="preserve">Definite-time delay (s), for the Definite time setting</t>
  </si>
  <si>
    <t xml:space="preserve">High-set I&gt;&gt; (A primary)</t>
  </si>
  <si>
    <t xml:space="preserve">High-set time delay (s)</t>
  </si>
  <si>
    <t xml:space="preserve">Pickup Is on the secondary (A)</t>
  </si>
  <si>
    <t xml:space="preserve">Curve constant k</t>
  </si>
  <si>
    <t xml:space="preserve">High-set I&gt;&gt; on the secondary (A)</t>
  </si>
  <si>
    <t xml:space="preserve">Curve constant alpha</t>
  </si>
  <si>
    <t xml:space="preserve">3. Tolerances (from the relay datasheet or test specification)</t>
  </si>
  <si>
    <t xml:space="preserve">Pickup tolerance (+/- %)</t>
  </si>
  <si>
    <t xml:space="preserve">Timing tolerance (+/- % of expected)</t>
  </si>
  <si>
    <t xml:space="preserve">Timing tolerance minimum (ms)</t>
  </si>
  <si>
    <t xml:space="preserve">Reset (drop-off) ratio, minimum</t>
  </si>
  <si>
    <t xml:space="preserve">High-set pickup tolerance (+/- %)</t>
  </si>
  <si>
    <t xml:space="preserve">High-set time tolerance (+/- s)</t>
  </si>
  <si>
    <t xml:space="preserve">Results show "Enter tolerance" until the matching tolerance is filled in. This template does not assume any tolerance. For timing, the allowed band is the larger of the percentage and the minimum in milliseconds.</t>
  </si>
  <si>
    <t xml:space="preserve">4. Pickup and drop-off</t>
  </si>
  <si>
    <t xml:space="preserve">Test</t>
  </si>
  <si>
    <t xml:space="preserve">Expected (A sec)</t>
  </si>
  <si>
    <t xml:space="preserve">Measured (A sec)</t>
  </si>
  <si>
    <t xml:space="preserve">Error (%) or reset ratio</t>
  </si>
  <si>
    <t xml:space="preserve">Result</t>
  </si>
  <si>
    <t xml:space="preserve">Pickup (lowest current that starts the element)</t>
  </si>
  <si>
    <t xml:space="preserve">Drop-off (current at which the element resets)</t>
  </si>
  <si>
    <t xml:space="preserve">-</t>
  </si>
  <si>
    <t xml:space="preserve">5. Operating time on the selected characteristic</t>
  </si>
  <si>
    <t xml:space="preserve">Multiple of pickup (x Is)</t>
  </si>
  <si>
    <t xml:space="preserve">Inject (A sec)</t>
  </si>
  <si>
    <t xml:space="preserve">Expected time (s)</t>
  </si>
  <si>
    <t xml:space="preserve">Measured time (s)</t>
  </si>
  <si>
    <t xml:space="preserve">Error (%)</t>
  </si>
  <si>
    <t xml:space="preserve">Allowed band (+/- s)</t>
  </si>
  <si>
    <t xml:space="preserve">Expected time = TMS x k / ((I / Is)^alpha - 1) for the inverse curves, or the definite-time delay. Inject the current shown, measure the operating time with the test set, and enter it. Keep multiples within the range the relay manufacturer states.</t>
  </si>
  <si>
    <t xml:space="preserve">6. High-set element (I&gt;&gt;)</t>
  </si>
  <si>
    <t xml:space="preserve">Expected</t>
  </si>
  <si>
    <t xml:space="preserve">Measured</t>
  </si>
  <si>
    <t xml:space="preserve">Error</t>
  </si>
  <si>
    <t xml:space="preserve">High-set pickup (A sec)</t>
  </si>
  <si>
    <t xml:space="preserve">High-set operating time (s), injected above I&gt;&gt;</t>
  </si>
  <si>
    <t xml:space="preserve">7. Checks</t>
  </si>
  <si>
    <t xml:space="preserve">Check</t>
  </si>
  <si>
    <t xml:space="preserve">Status</t>
  </si>
  <si>
    <t xml:space="preserve">Remarks</t>
  </si>
  <si>
    <t xml:space="preserve">CT ratio and polarity verified against nameplate and drawings</t>
  </si>
  <si>
    <t xml:space="preserve">Relay settings read back and match the approved setting sheet</t>
  </si>
  <si>
    <t xml:space="preserve">Wiring and terminations checked against the schematic</t>
  </si>
  <si>
    <t xml:space="preserve">Trip circuit continuity and trip coil supervision checked</t>
  </si>
  <si>
    <t xml:space="preserve">Output contacts operate the circuit breaker (trip test)</t>
  </si>
  <si>
    <t xml:space="preserve">Flags, LEDs and event records operate correctly</t>
  </si>
  <si>
    <t xml:space="preserve">Insulation resistance of relay circuits measured per instructions</t>
  </si>
  <si>
    <t xml:space="preserve">Test connections removed, relay returned to service state</t>
  </si>
  <si>
    <t xml:space="preserve">8. Result</t>
  </si>
  <si>
    <t xml:space="preserve">Tests passed</t>
  </si>
  <si>
    <t xml:space="preserve">Tests failed or checks marked Not OK</t>
  </si>
  <si>
    <t xml:space="preserve">Tests waiting for a tolerance</t>
  </si>
  <si>
    <t xml:space="preserve">Overall result</t>
  </si>
  <si>
    <t xml:space="preserve">Remarks and recommended action</t>
  </si>
  <si>
    <t xml:space="preserve">Signature and date: tester</t>
  </si>
  <si>
    <t xml:space="preserve">Reviewer</t>
  </si>
  <si>
    <t xml:space="preserve">EXAMPLE with made-up data, to show the expected format. Use the blank sheet for your own report.</t>
  </si>
  <si>
    <t xml:space="preserve">Demo Plant, Howrah</t>
  </si>
  <si>
    <t xml:space="preserve">11 kV feeder F-4 incomer</t>
  </si>
  <si>
    <t xml:space="preserve">Sample numerical overcurrent relay</t>
  </si>
  <si>
    <t xml:space="preserve">Sample serial</t>
  </si>
  <si>
    <t xml:space="preserve">Sample relay test set</t>
  </si>
  <si>
    <t xml:space="preserve">Sample serial, cal due Mar 2027</t>
  </si>
  <si>
    <t xml:space="preserve">110 V DC</t>
  </si>
  <si>
    <t xml:space="preserve">A. Sample</t>
  </si>
  <si>
    <t xml:space="preserve">B. Sample</t>
  </si>
  <si>
    <t xml:space="preserve">Standard inverse</t>
  </si>
  <si>
    <t xml:space="preserve">50/51 phase overcurrent</t>
  </si>
  <si>
    <t xml:space="preserve">OK</t>
  </si>
  <si>
    <t xml:space="preserve">N/A</t>
  </si>
  <si>
    <t xml:space="preserve">Example only. All points inside the entered tolerances. Tolerances here are sample values, take yours from the relay datasheet.</t>
  </si>
  <si>
    <t xml:space="preserve">REFERENCE: operating characteristics, formulas and sources</t>
  </si>
  <si>
    <t xml:space="preserve">Curve constants used by the Report sheet. Blue cells can be edited if your relay uses different constants.</t>
  </si>
  <si>
    <t xml:space="preserve">A. IEC inverse-time characteristics: t = TMS x k / ((I / Is)^alpha - 1)</t>
  </si>
  <si>
    <t xml:space="preserve">Curve</t>
  </si>
  <si>
    <t xml:space="preserve">k</t>
  </si>
  <si>
    <t xml:space="preserve">alpha</t>
  </si>
  <si>
    <t xml:space="preserve">Note</t>
  </si>
  <si>
    <t xml:space="preserve">IEC 60255-151 normal (standard) inverse</t>
  </si>
  <si>
    <t xml:space="preserve">Very inverse</t>
  </si>
  <si>
    <t xml:space="preserve">IEC 60255-151 very inverse</t>
  </si>
  <si>
    <t xml:space="preserve">Extremely inverse</t>
  </si>
  <si>
    <t xml:space="preserve">IEC 60255-151 extremely inverse</t>
  </si>
  <si>
    <t xml:space="preserve">Long-time inverse</t>
  </si>
  <si>
    <t xml:space="preserve">IEC 60255-151 long-time inverse</t>
  </si>
  <si>
    <t xml:space="preserve">Definite time</t>
  </si>
  <si>
    <t xml:space="preserve">Operating time is the definite-time delay you enter. k and alpha are not used.</t>
  </si>
  <si>
    <t xml:space="preserve">B. Sources, assumptions and limits of use</t>
  </si>
  <si>
    <t xml:space="preserve">Sources: IEC 60255-151, Measuring relays and protection equipment, Part 151: Functional requirements for over/under current protection (inverse-time characteristics and their constants). Check that your relay uses the same characteristic and edit the blue cells if the manufacturer defines it differently.</t>
  </si>
  <si>
    <t xml:space="preserve">The formula applies for multiples of pickup above 1. Many relays limit the characteristic above a maximum multiple (often 20), so keep test points within the range the manufacturer states.</t>
  </si>
  <si>
    <t xml:space="preserve">Tolerances (pickup, operating time, reset ratio, high-set) are entered on the Report sheet. This template does not assume them: take them from the relay datasheet or your test specification. Timing accuracy is often quoted as a percentage with a minimum value in milliseconds, so the sheet accepts both and uses the larger.</t>
  </si>
  <si>
    <t xml:space="preserve">Secondary injection tests the relay and its settings. It does not prove CT ratio, polarity or wiring on its own, which is why those checks are on the checklist. Follow your site permit and safety procedure when testing.</t>
  </si>
  <si>
    <t xml:space="preserve">The expected time for each test point is calculated from the settings, so the template is only as good as the settings you enter. Enter the pickup in primary amps and the CT ratio, and the sheet works out the secondary injection currents.</t>
  </si>
</sst>
</file>

<file path=xl/styles.xml><?xml version="1.0" encoding="utf-8"?>
<styleSheet xmlns="http://schemas.openxmlformats.org/spreadsheetml/2006/main">
  <numFmts count="10">
    <numFmt numFmtId="164" formatCode="General"/>
    <numFmt numFmtId="165" formatCode="dd\-mmm\-yyyy"/>
    <numFmt numFmtId="166" formatCode="0"/>
    <numFmt numFmtId="167" formatCode="0.0##"/>
    <numFmt numFmtId="168" formatCode="0.0"/>
    <numFmt numFmtId="169" formatCode="0.000"/>
    <numFmt numFmtId="170" formatCode="0.00"/>
    <numFmt numFmtId="171" formatCode="\+0.0%;\-0.0%;0.0%"/>
    <numFmt numFmtId="172" formatCode="\+0.000&quot; s&quot;;\-0.000&quot; s&quot;;0.000&quot; s&quot;"/>
    <numFmt numFmtId="173" formatCode="0.00##"/>
  </numFmts>
  <fonts count="19">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C9D1DC"/>
      <name val="Arial"/>
      <family val="0"/>
      <charset val="1"/>
    </font>
    <font>
      <i val="true"/>
      <sz val="9"/>
      <color rgb="FF5B6573"/>
      <name val="Arial"/>
      <family val="0"/>
      <charset val="1"/>
    </font>
    <font>
      <b val="true"/>
      <sz val="10"/>
      <color rgb="FFFFFFFF"/>
      <name val="Arial"/>
      <family val="0"/>
      <charset val="1"/>
    </font>
    <font>
      <b val="true"/>
      <sz val="10"/>
      <color rgb="FF1F2937"/>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9"/>
      <color rgb="FF1F2937"/>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C8202B"/>
      <name val="Arial"/>
      <family val="0"/>
      <charset val="1"/>
    </font>
    <font>
      <sz val="10"/>
      <name val="Arial"/>
      <family val="0"/>
      <charset val="1"/>
    </font>
  </fonts>
  <fills count="8">
    <fill>
      <patternFill patternType="none"/>
    </fill>
    <fill>
      <patternFill patternType="gray125"/>
    </fill>
    <fill>
      <patternFill patternType="solid">
        <fgColor rgb="FF0A0E14"/>
        <bgColor rgb="FF000000"/>
      </patternFill>
    </fill>
    <fill>
      <patternFill patternType="solid">
        <fgColor rgb="FF2B3440"/>
        <bgColor rgb="FF1F2937"/>
      </patternFill>
    </fill>
    <fill>
      <patternFill patternType="solid">
        <fgColor rgb="FFFFF8D6"/>
        <bgColor rgb="FFFDE7E9"/>
      </patternFill>
    </fill>
    <fill>
      <patternFill patternType="solid">
        <fgColor rgb="FFEEF1F5"/>
        <bgColor rgb="FFFDE7E9"/>
      </patternFill>
    </fill>
    <fill>
      <patternFill patternType="solid">
        <fgColor rgb="FFDDE3EB"/>
        <bgColor rgb="FFD9D9D9"/>
      </patternFill>
    </fill>
    <fill>
      <patternFill patternType="solid">
        <fgColor rgb="FFFDE7E9"/>
        <bgColor rgb="FFEEF1F5"/>
      </patternFill>
    </fill>
  </fills>
  <borders count="3">
    <border diagonalUp="false" diagonalDown="false">
      <left/>
      <right/>
      <top/>
      <bottom/>
      <diagonal/>
    </border>
    <border diagonalUp="false" diagonalDown="false">
      <left style="thin">
        <color rgb="FFB8C0CC"/>
      </left>
      <right style="thin">
        <color rgb="FFB8C0CC"/>
      </right>
      <top style="thin">
        <color rgb="FFB8C0CC"/>
      </top>
      <bottom style="thin">
        <color rgb="FFB8C0CC"/>
      </bottom>
      <diagonal/>
    </border>
    <border diagonalUp="false" diagonalDown="false">
      <left style="thin">
        <color rgb="FFB8C0CC"/>
      </left>
      <right/>
      <top style="thin">
        <color rgb="FFB8C0CC"/>
      </top>
      <bottom style="thin">
        <color rgb="FFB8C0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true" indent="1" shrinkToFit="false"/>
      <protection locked="true" hidden="false"/>
    </xf>
    <xf numFmtId="164" fontId="6" fillId="0" borderId="0" xfId="0" applyFont="true" applyBorder="true" applyAlignment="true" applyProtection="false">
      <alignment horizontal="left" vertical="bottom" textRotation="0" wrapText="false" indent="1"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false" hidden="false"/>
    </xf>
    <xf numFmtId="165" fontId="9" fillId="4" borderId="1" xfId="0" applyFont="true" applyBorder="true" applyAlignment="true" applyProtection="true">
      <alignment horizontal="left" vertical="center" textRotation="0" wrapText="true" indent="0" shrinkToFit="false"/>
      <protection locked="false" hidden="false"/>
    </xf>
    <xf numFmtId="166" fontId="9" fillId="4" borderId="1" xfId="0" applyFont="true" applyBorder="true" applyAlignment="true" applyProtection="true">
      <alignment horizontal="center" vertical="center" textRotation="0" wrapText="true" indent="0" shrinkToFit="false"/>
      <protection locked="false" hidden="false"/>
    </xf>
    <xf numFmtId="167" fontId="9" fillId="4" borderId="1" xfId="0" applyFont="true" applyBorder="true" applyAlignment="true" applyProtection="true">
      <alignment horizontal="center" vertical="center" textRotation="0" wrapText="true" indent="0" shrinkToFit="false"/>
      <protection locked="false" hidden="false"/>
    </xf>
    <xf numFmtId="168" fontId="9" fillId="4" borderId="1" xfId="0" applyFont="true" applyBorder="true" applyAlignment="true" applyProtection="true">
      <alignment horizontal="center" vertical="center" textRotation="0" wrapText="true" indent="0" shrinkToFit="false"/>
      <protection locked="false" hidden="false"/>
    </xf>
    <xf numFmtId="169" fontId="10" fillId="5" borderId="1" xfId="0" applyFont="true" applyBorder="true" applyAlignment="true" applyProtection="false">
      <alignment horizontal="center" vertical="center" textRotation="0" wrapText="true" indent="0" shrinkToFit="false"/>
      <protection locked="true" hidden="false"/>
    </xf>
    <xf numFmtId="167" fontId="11" fillId="5" borderId="1" xfId="0" applyFont="true" applyBorder="true" applyAlignment="true" applyProtection="false">
      <alignment horizontal="center" vertical="center" textRotation="0" wrapText="true" indent="0" shrinkToFit="false"/>
      <protection locked="true" hidden="false"/>
    </xf>
    <xf numFmtId="170" fontId="9" fillId="4" borderId="1" xfId="0" applyFont="true" applyBorder="true" applyAlignment="true" applyProtection="true">
      <alignment horizontal="center" vertical="center" textRotation="0" wrapText="true" indent="0" shrinkToFit="false"/>
      <protection locked="false" hidden="false"/>
    </xf>
    <xf numFmtId="169" fontId="9" fillId="4" borderId="1" xfId="0" applyFont="true" applyBorder="true" applyAlignment="true" applyProtection="true">
      <alignment horizontal="center" vertical="center" textRotation="0" wrapText="true" indent="0" shrinkToFit="false"/>
      <protection locked="fals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71" fontId="10"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72" fontId="10" fillId="5" borderId="1"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false" hidden="false"/>
    </xf>
    <xf numFmtId="166" fontId="10"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top" textRotation="0" wrapText="true" indent="0" shrinkToFit="false"/>
      <protection locked="false" hidden="false"/>
    </xf>
    <xf numFmtId="164" fontId="17" fillId="7" borderId="0" xfId="0" applyFont="true" applyBorder="true" applyAlignment="true" applyProtection="false">
      <alignment horizontal="left" vertical="bottom" textRotation="0" wrapText="false" indent="1"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3" fontId="9" fillId="4" borderId="1" xfId="0" applyFont="true" applyBorder="true" applyAlignment="true" applyProtection="true">
      <alignment horizontal="center" vertical="center" textRotation="0" wrapText="true" indent="0" shrinkToFit="false"/>
      <protection locked="fals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9C0006"/>
      </font>
      <fill>
        <patternFill>
          <bgColor rgb="FFFFC7CE"/>
        </patternFill>
      </fill>
    </dxf>
    <dxf>
      <font>
        <name val="Arial"/>
        <charset val="1"/>
        <family val="0"/>
        <b val="1"/>
        <color rgb="FF9C5700"/>
      </font>
      <fill>
        <patternFill>
          <bgColor rgb="FFFFEB9C"/>
        </patternFill>
      </fill>
    </dxf>
    <dxf>
      <font>
        <name val="Arial"/>
        <charset val="1"/>
        <family val="0"/>
        <b val="1"/>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6100"/>
      <rgbColor rgb="FFB8C0CC"/>
      <rgbColor rgb="FF878787"/>
      <rgbColor rgb="FF9999FF"/>
      <rgbColor rgb="FFC8202B"/>
      <rgbColor rgb="FFFFF8D6"/>
      <rgbColor rgb="FFEEF1F5"/>
      <rgbColor rgb="FF660066"/>
      <rgbColor rgb="FFFF8080"/>
      <rgbColor rgb="FF0066CC"/>
      <rgbColor rgb="FFC9D1DC"/>
      <rgbColor rgb="FF000080"/>
      <rgbColor rgb="FFFF00FF"/>
      <rgbColor rgb="FFFFFF00"/>
      <rgbColor rgb="FF00FFFF"/>
      <rgbColor rgb="FF800080"/>
      <rgbColor rgb="FF800000"/>
      <rgbColor rgb="FF008080"/>
      <rgbColor rgb="FF0000FF"/>
      <rgbColor rgb="FF00CCFF"/>
      <rgbColor rgb="FFDDE3EB"/>
      <rgbColor rgb="FFC6EFCE"/>
      <rgbColor rgb="FFFFEB9C"/>
      <rgbColor rgb="FFD9D9D9"/>
      <rgbColor rgb="FFFDE7E9"/>
      <rgbColor rgb="FFCC99FF"/>
      <rgbColor rgb="FFFFC7CE"/>
      <rgbColor rgb="FF3366FF"/>
      <rgbColor rgb="FF33CCCC"/>
      <rgbColor rgb="FFB3C992"/>
      <rgbColor rgb="FFFFCC00"/>
      <rgbColor rgb="FFFF9900"/>
      <rgbColor rgb="FFFF6600"/>
      <rgbColor rgb="FF5B6573"/>
      <rgbColor rgb="FF87A44B"/>
      <rgbColor rgb="FF003366"/>
      <rgbColor rgb="FF339966"/>
      <rgbColor rgb="FF0A0E14"/>
      <rgbColor rgb="FF1F2937"/>
      <rgbColor rgb="FF9C5700"/>
      <rgbColor rgb="FF993366"/>
      <rgbColor rgb="FF333399"/>
      <rgbColor rgb="FF2B34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3"/>
  <c:chart>
    <c:title>
      <c:tx>
        <c:rich>
          <a:bodyPr rot="0"/>
          <a:lstStyle/>
          <a:p>
            <a:pPr>
              <a:defRPr sz="1300" b="0" u="none" strike="noStrike">
                <a:uFillTx/>
                <a:latin typeface="Arial"/>
              </a:defRPr>
            </a:pPr>
            <a:r>
              <a:rPr sz="1800" b="1" u="none" strike="noStrike">
                <a:solidFill>
                  <a:srgbClr val="000000"/>
                </a:solidFill>
                <a:uFillTx/>
                <a:latin typeface="Calibri"/>
              </a:rPr>
              <a:t>Operating time against multiple of pickup</a:t>
            </a:r>
          </a:p>
        </c:rich>
      </c:tx>
      <c:overlay val="0"/>
      <c:spPr>
        <a:noFill/>
        <a:ln w="0">
          <a:noFill/>
        </a:ln>
      </c:spPr>
    </c:title>
    <c:autoTitleDeleted val="0"/>
    <c:plotArea>
      <c:scatterChart>
        <c:scatterStyle val="lineMarker"/>
        <c:varyColors val="0"/>
        <c:ser>
          <c:idx val="0"/>
          <c:order val="0"/>
          <c:tx>
            <c:strRef>
              <c:f>"Expected"</c:f>
              <c:strCache>
                <c:ptCount val="1"/>
                <c:pt idx="0">
                  <c:v>Expected</c:v>
                </c:pt>
              </c:strCache>
            </c:strRef>
          </c:tx>
          <c:spPr>
            <a:ln w="12600">
              <a:solidFill>
                <a:srgbClr val="87A44B"/>
              </a:solidFill>
              <a:round/>
            </a:ln>
          </c:spPr>
          <c:marker>
            <c:symbol val="diamond"/>
            <c:size val="7"/>
            <c:spPr>
              <a:solidFill>
                <a:srgbClr val="87A44B"/>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xVal>
            <c:numRef>
              <c:f>Report!$A$34:$A$39</c:f>
              <c:numCache>
                <c:formatCode>0.0</c:formatCode>
                <c:ptCount val="6"/>
                <c:pt idx="0">
                  <c:v>2</c:v>
                </c:pt>
                <c:pt idx="1">
                  <c:v>3</c:v>
                </c:pt>
                <c:pt idx="2">
                  <c:v>5</c:v>
                </c:pt>
                <c:pt idx="3">
                  <c:v>10</c:v>
                </c:pt>
                <c:pt idx="4">
                  <c:v>20</c:v>
                </c:pt>
              </c:numCache>
            </c:numRef>
          </c:xVal>
          <c:yVal>
            <c:numRef>
              <c:f>Report!$C$34:$C$39</c:f>
              <c:numCache>
                <c:formatCode>General</c:formatCode>
                <c:ptCount val="6"/>
              </c:numCache>
            </c:numRef>
          </c:yVal>
          <c:smooth val="1"/>
        </c:ser>
        <c:ser>
          <c:idx val="1"/>
          <c:order val="1"/>
          <c:tx>
            <c:strRef>
              <c:f>"Measured"</c:f>
              <c:strCache>
                <c:ptCount val="1"/>
                <c:pt idx="0">
                  <c:v>Measured</c:v>
                </c:pt>
              </c:strCache>
            </c:strRef>
          </c:tx>
          <c:spPr>
            <a:ln w="12600">
              <a:solidFill>
                <a:srgbClr val="B3C992"/>
              </a:solidFill>
              <a:round/>
            </a:ln>
          </c:spPr>
          <c:marker>
            <c:symbol val="circle"/>
            <c:size val="7"/>
            <c:spPr>
              <a:solidFill>
                <a:srgbClr val="B3C992"/>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xVal>
            <c:numRef>
              <c:f>Report!$A$34:$A$39</c:f>
              <c:numCache>
                <c:formatCode>0.0</c:formatCode>
                <c:ptCount val="6"/>
                <c:pt idx="0">
                  <c:v>2</c:v>
                </c:pt>
                <c:pt idx="1">
                  <c:v>3</c:v>
                </c:pt>
                <c:pt idx="2">
                  <c:v>5</c:v>
                </c:pt>
                <c:pt idx="3">
                  <c:v>10</c:v>
                </c:pt>
                <c:pt idx="4">
                  <c:v>20</c:v>
                </c:pt>
              </c:numCache>
            </c:numRef>
          </c:xVal>
          <c:yVal>
            <c:numRef>
              <c:f>Report!$D$34:$D$39</c:f>
              <c:numCache>
                <c:formatCode>General</c:formatCode>
                <c:ptCount val="6"/>
              </c:numCache>
            </c:numRef>
          </c:yVal>
          <c:smooth val="1"/>
        </c:ser>
        <c:axId val="53990335"/>
        <c:axId val="37734865"/>
      </c:scatterChart>
      <c:valAx>
        <c:axId val="53990335"/>
        <c:scaling>
          <c:logBase val="10"/>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Multiple of pickup (x Is)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34865"/>
        <c:crosses val="autoZero"/>
        <c:crossBetween val="midCat"/>
      </c:valAx>
      <c:valAx>
        <c:axId val="37734865"/>
        <c:scaling>
          <c:logBase val="10"/>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Operating time (s)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990335"/>
        <c:crosses val="autoZero"/>
        <c:crossBetween val="midCat"/>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3"/>
  <c:chart>
    <c:title>
      <c:tx>
        <c:rich>
          <a:bodyPr rot="0"/>
          <a:lstStyle/>
          <a:p>
            <a:pPr>
              <a:defRPr sz="1300" b="0" u="none" strike="noStrike">
                <a:uFillTx/>
                <a:latin typeface="Arial"/>
              </a:defRPr>
            </a:pPr>
            <a:r>
              <a:rPr sz="1800" b="1" u="none" strike="noStrike">
                <a:solidFill>
                  <a:srgbClr val="000000"/>
                </a:solidFill>
                <a:uFillTx/>
                <a:latin typeface="Calibri"/>
              </a:rPr>
              <a:t>Operating time against multiple of pickup</a:t>
            </a:r>
          </a:p>
        </c:rich>
      </c:tx>
      <c:overlay val="0"/>
      <c:spPr>
        <a:noFill/>
        <a:ln w="0">
          <a:noFill/>
        </a:ln>
      </c:spPr>
    </c:title>
    <c:autoTitleDeleted val="0"/>
    <c:plotArea>
      <c:scatterChart>
        <c:scatterStyle val="lineMarker"/>
        <c:varyColors val="0"/>
        <c:ser>
          <c:idx val="0"/>
          <c:order val="0"/>
          <c:tx>
            <c:strRef>
              <c:f>"Expected"</c:f>
              <c:strCache>
                <c:ptCount val="1"/>
                <c:pt idx="0">
                  <c:v>Expected</c:v>
                </c:pt>
              </c:strCache>
            </c:strRef>
          </c:tx>
          <c:spPr>
            <a:ln w="12600">
              <a:solidFill>
                <a:srgbClr val="87A44B"/>
              </a:solidFill>
              <a:round/>
            </a:ln>
          </c:spPr>
          <c:marker>
            <c:symbol val="diamond"/>
            <c:size val="7"/>
            <c:spPr>
              <a:solidFill>
                <a:srgbClr val="87A44B"/>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xVal>
            <c:numRef>
              <c:f>Example!$A$34:$A$39</c:f>
              <c:numCache>
                <c:formatCode>0.0</c:formatCode>
                <c:ptCount val="6"/>
                <c:pt idx="0">
                  <c:v>2</c:v>
                </c:pt>
                <c:pt idx="1">
                  <c:v>3</c:v>
                </c:pt>
                <c:pt idx="2">
                  <c:v>5</c:v>
                </c:pt>
                <c:pt idx="3">
                  <c:v>10</c:v>
                </c:pt>
                <c:pt idx="4">
                  <c:v>20</c:v>
                </c:pt>
              </c:numCache>
            </c:numRef>
          </c:xVal>
          <c:yVal>
            <c:numRef>
              <c:f>Example!$C$34:$C$39</c:f>
              <c:numCache>
                <c:formatCode>0.000</c:formatCode>
                <c:ptCount val="6"/>
                <c:pt idx="0">
                  <c:v>2.00580540400937</c:v>
                </c:pt>
                <c:pt idx="1">
                  <c:v>1.26038618543852</c:v>
                </c:pt>
                <c:pt idx="2">
                  <c:v>0.855944014189075</c:v>
                </c:pt>
                <c:pt idx="3">
                  <c:v>0.594119724837683</c:v>
                </c:pt>
                <c:pt idx="4">
                  <c:v>0.453471273449413</c:v>
                </c:pt>
              </c:numCache>
            </c:numRef>
          </c:yVal>
          <c:smooth val="1"/>
        </c:ser>
        <c:ser>
          <c:idx val="1"/>
          <c:order val="1"/>
          <c:tx>
            <c:strRef>
              <c:f>"Measured"</c:f>
              <c:strCache>
                <c:ptCount val="1"/>
                <c:pt idx="0">
                  <c:v>Measured</c:v>
                </c:pt>
              </c:strCache>
            </c:strRef>
          </c:tx>
          <c:spPr>
            <a:ln w="12600">
              <a:solidFill>
                <a:srgbClr val="B3C992"/>
              </a:solidFill>
              <a:round/>
            </a:ln>
          </c:spPr>
          <c:marker>
            <c:symbol val="circle"/>
            <c:size val="7"/>
            <c:spPr>
              <a:solidFill>
                <a:srgbClr val="B3C992"/>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xVal>
            <c:numRef>
              <c:f>Example!$A$34:$A$39</c:f>
              <c:numCache>
                <c:formatCode>0.0</c:formatCode>
                <c:ptCount val="6"/>
                <c:pt idx="0">
                  <c:v>2</c:v>
                </c:pt>
                <c:pt idx="1">
                  <c:v>3</c:v>
                </c:pt>
                <c:pt idx="2">
                  <c:v>5</c:v>
                </c:pt>
                <c:pt idx="3">
                  <c:v>10</c:v>
                </c:pt>
                <c:pt idx="4">
                  <c:v>20</c:v>
                </c:pt>
              </c:numCache>
            </c:numRef>
          </c:xVal>
          <c:yVal>
            <c:numRef>
              <c:f>Example!$D$34:$D$39</c:f>
              <c:numCache>
                <c:formatCode>0.000</c:formatCode>
                <c:ptCount val="6"/>
                <c:pt idx="0">
                  <c:v>2.03</c:v>
                </c:pt>
                <c:pt idx="1">
                  <c:v>1.27</c:v>
                </c:pt>
                <c:pt idx="2">
                  <c:v>0.86</c:v>
                </c:pt>
                <c:pt idx="3">
                  <c:v>0.6</c:v>
                </c:pt>
                <c:pt idx="4">
                  <c:v>0.46</c:v>
                </c:pt>
              </c:numCache>
            </c:numRef>
          </c:yVal>
          <c:smooth val="1"/>
        </c:ser>
        <c:axId val="43315533"/>
        <c:axId val="33651370"/>
      </c:scatterChart>
      <c:valAx>
        <c:axId val="43315533"/>
        <c:scaling>
          <c:logBase val="10"/>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Multiple of pickup (x Is)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651370"/>
        <c:crosses val="autoZero"/>
        <c:crossBetween val="midCat"/>
      </c:valAx>
      <c:valAx>
        <c:axId val="33651370"/>
        <c:scaling>
          <c:logBase val="10"/>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Operating time (s)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315533"/>
        <c:crosses val="autoZero"/>
        <c:crossBetween val="midCat"/>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0</xdr:rowOff>
    </xdr:from>
    <xdr:to>
      <xdr:col>4</xdr:col>
      <xdr:colOff>840960</xdr:colOff>
      <xdr:row>84</xdr:row>
      <xdr:rowOff>1080</xdr:rowOff>
    </xdr:to>
    <xdr:graphicFrame>
      <xdr:nvGraphicFramePr>
        <xdr:cNvPr id="1" name="Chart 1"/>
        <xdr:cNvGraphicFramePr/>
      </xdr:nvGraphicFramePr>
      <xdr:xfrm>
        <a:off x="0" y="1570680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0</xdr:row>
      <xdr:rowOff>0</xdr:rowOff>
    </xdr:from>
    <xdr:to>
      <xdr:col>7</xdr:col>
      <xdr:colOff>533160</xdr:colOff>
      <xdr:row>0</xdr:row>
      <xdr:rowOff>342720</xdr:rowOff>
    </xdr:to>
    <xdr:pic>
      <xdr:nvPicPr>
        <xdr:cNvPr id="2" name="Image 2" descr="Picture"/>
        <xdr:cNvPicPr/>
      </xdr:nvPicPr>
      <xdr:blipFill>
        <a:blip r:embed="rId2"/>
        <a:stretch/>
      </xdr:blipFill>
      <xdr:spPr>
        <a:xfrm>
          <a:off x="8528760" y="0"/>
          <a:ext cx="533160" cy="342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0</xdr:rowOff>
    </xdr:from>
    <xdr:to>
      <xdr:col>4</xdr:col>
      <xdr:colOff>840960</xdr:colOff>
      <xdr:row>84</xdr:row>
      <xdr:rowOff>1080</xdr:rowOff>
    </xdr:to>
    <xdr:graphicFrame>
      <xdr:nvGraphicFramePr>
        <xdr:cNvPr id="3" name="Chart 1"/>
        <xdr:cNvGraphicFramePr/>
      </xdr:nvGraphicFramePr>
      <xdr:xfrm>
        <a:off x="0" y="1570680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0</xdr:row>
      <xdr:rowOff>0</xdr:rowOff>
    </xdr:from>
    <xdr:to>
      <xdr:col>7</xdr:col>
      <xdr:colOff>533160</xdr:colOff>
      <xdr:row>0</xdr:row>
      <xdr:rowOff>342720</xdr:rowOff>
    </xdr:to>
    <xdr:pic>
      <xdr:nvPicPr>
        <xdr:cNvPr id="4" name="Image 2" descr="Picture"/>
        <xdr:cNvPicPr/>
      </xdr:nvPicPr>
      <xdr:blipFill>
        <a:blip r:embed="rId2"/>
        <a:stretch/>
      </xdr:blipFill>
      <xdr:spPr>
        <a:xfrm>
          <a:off x="8528760" y="0"/>
          <a:ext cx="533160" cy="342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3" min="2" style="0" width="13"/>
    <col collapsed="false" customWidth="true" hidden="false" outlineLevel="0" max="6" min="4" style="0" width="14"/>
    <col collapsed="false" customWidth="true" hidden="false" outlineLevel="0" max="9" min="7" style="0" width="13"/>
  </cols>
  <sheetData>
    <row r="1" customFormat="false" ht="30" hidden="false" customHeight="true" outlineLevel="0" collapsed="false">
      <c r="A1" s="1" t="s">
        <v>0</v>
      </c>
      <c r="B1" s="1"/>
      <c r="C1" s="1"/>
      <c r="D1" s="1"/>
      <c r="E1" s="1"/>
      <c r="F1" s="1"/>
      <c r="G1" s="1"/>
      <c r="H1" s="1"/>
      <c r="I1" s="1"/>
    </row>
    <row r="2" customFormat="false" ht="25.5" hidden="false" customHeight="true" outlineLevel="0" collapsed="false">
      <c r="A2" s="2" t="s">
        <v>1</v>
      </c>
      <c r="B2" s="2"/>
      <c r="C2" s="2"/>
      <c r="D2" s="2"/>
      <c r="E2" s="2"/>
      <c r="F2" s="2"/>
      <c r="G2" s="2"/>
      <c r="H2" s="2"/>
      <c r="I2" s="2"/>
    </row>
    <row r="3" customFormat="false" ht="15" hidden="false" customHeight="false" outlineLevel="0" collapsed="false">
      <c r="A3" s="3" t="s">
        <v>2</v>
      </c>
      <c r="B3" s="3"/>
      <c r="C3" s="3"/>
      <c r="D3" s="3"/>
      <c r="E3" s="3"/>
      <c r="F3" s="3"/>
      <c r="G3" s="3"/>
      <c r="H3" s="3"/>
      <c r="I3" s="3"/>
    </row>
    <row r="5" customFormat="false" ht="18" hidden="false" customHeight="true" outlineLevel="0" collapsed="false">
      <c r="A5" s="4" t="s">
        <v>3</v>
      </c>
      <c r="B5" s="4"/>
      <c r="C5" s="4"/>
      <c r="D5" s="4"/>
      <c r="E5" s="4"/>
      <c r="F5" s="4"/>
      <c r="G5" s="4"/>
      <c r="H5" s="4"/>
      <c r="I5" s="4"/>
    </row>
    <row r="6" customFormat="false" ht="15" hidden="false" customHeight="true" outlineLevel="0" collapsed="false">
      <c r="A6" s="5" t="s">
        <v>4</v>
      </c>
      <c r="B6" s="6"/>
      <c r="C6" s="6"/>
      <c r="D6" s="6"/>
      <c r="E6" s="5" t="s">
        <v>5</v>
      </c>
      <c r="F6" s="5"/>
      <c r="G6" s="6"/>
      <c r="H6" s="6"/>
      <c r="I6" s="6"/>
    </row>
    <row r="7" customFormat="false" ht="15" hidden="false" customHeight="true" outlineLevel="0" collapsed="false">
      <c r="A7" s="5" t="s">
        <v>6</v>
      </c>
      <c r="B7" s="6"/>
      <c r="C7" s="6"/>
      <c r="D7" s="6"/>
      <c r="E7" s="5" t="s">
        <v>7</v>
      </c>
      <c r="F7" s="5"/>
      <c r="G7" s="6"/>
      <c r="H7" s="6"/>
      <c r="I7" s="6"/>
    </row>
    <row r="8" customFormat="false" ht="23.85" hidden="false" customHeight="true" outlineLevel="0" collapsed="false">
      <c r="A8" s="5" t="s">
        <v>8</v>
      </c>
      <c r="B8" s="6"/>
      <c r="C8" s="6"/>
      <c r="D8" s="6"/>
      <c r="E8" s="5" t="s">
        <v>9</v>
      </c>
      <c r="F8" s="5"/>
      <c r="G8" s="6"/>
      <c r="H8" s="6"/>
      <c r="I8" s="6"/>
    </row>
    <row r="9" customFormat="false" ht="15" hidden="false" customHeight="true" outlineLevel="0" collapsed="false">
      <c r="A9" s="5" t="s">
        <v>10</v>
      </c>
      <c r="B9" s="7"/>
      <c r="C9" s="7"/>
      <c r="D9" s="7"/>
      <c r="E9" s="5" t="s">
        <v>11</v>
      </c>
      <c r="F9" s="5"/>
      <c r="G9" s="6"/>
      <c r="H9" s="6"/>
      <c r="I9" s="6"/>
    </row>
    <row r="10" customFormat="false" ht="15" hidden="false" customHeight="true" outlineLevel="0" collapsed="false">
      <c r="A10" s="5" t="s">
        <v>12</v>
      </c>
      <c r="B10" s="6"/>
      <c r="C10" s="6"/>
      <c r="D10" s="6"/>
      <c r="E10" s="5" t="s">
        <v>13</v>
      </c>
      <c r="F10" s="5"/>
      <c r="G10" s="6"/>
      <c r="H10" s="6"/>
      <c r="I10" s="6"/>
    </row>
    <row r="12" customFormat="false" ht="18" hidden="false" customHeight="true" outlineLevel="0" collapsed="false">
      <c r="A12" s="4" t="s">
        <v>14</v>
      </c>
      <c r="B12" s="4"/>
      <c r="C12" s="4"/>
      <c r="D12" s="4"/>
      <c r="E12" s="4"/>
      <c r="F12" s="4"/>
      <c r="G12" s="4"/>
      <c r="H12" s="4"/>
      <c r="I12" s="4"/>
    </row>
    <row r="13" customFormat="false" ht="15" hidden="false" customHeight="true" outlineLevel="0" collapsed="false">
      <c r="A13" s="5" t="s">
        <v>15</v>
      </c>
      <c r="B13" s="8"/>
      <c r="E13" s="5" t="s">
        <v>16</v>
      </c>
      <c r="F13" s="5"/>
      <c r="G13" s="8"/>
    </row>
    <row r="14" customFormat="false" ht="15" hidden="false" customHeight="true" outlineLevel="0" collapsed="false">
      <c r="A14" s="5" t="s">
        <v>17</v>
      </c>
      <c r="B14" s="6"/>
      <c r="C14" s="6"/>
      <c r="D14" s="6"/>
      <c r="E14" s="5" t="s">
        <v>18</v>
      </c>
      <c r="F14" s="5"/>
      <c r="G14" s="6"/>
      <c r="H14" s="6"/>
      <c r="I14" s="6"/>
    </row>
    <row r="15" customFormat="false" ht="15" hidden="false" customHeight="true" outlineLevel="0" collapsed="false">
      <c r="A15" s="5" t="s">
        <v>19</v>
      </c>
      <c r="B15" s="9"/>
      <c r="E15" s="5" t="s">
        <v>20</v>
      </c>
      <c r="F15" s="5"/>
      <c r="G15" s="9"/>
    </row>
    <row r="16" customFormat="false" ht="23.85" hidden="false" customHeight="true" outlineLevel="0" collapsed="false">
      <c r="A16" s="5" t="s">
        <v>21</v>
      </c>
      <c r="B16" s="9"/>
      <c r="E16" s="5" t="s">
        <v>22</v>
      </c>
      <c r="F16" s="5"/>
      <c r="G16" s="10"/>
    </row>
    <row r="17" customFormat="false" ht="15" hidden="false" customHeight="false" outlineLevel="0" collapsed="false">
      <c r="A17" s="5" t="s">
        <v>23</v>
      </c>
      <c r="B17" s="9"/>
    </row>
    <row r="18" customFormat="false" ht="15" hidden="false" customHeight="true" outlineLevel="0" collapsed="false">
      <c r="A18" s="5" t="s">
        <v>24</v>
      </c>
      <c r="B18" s="11" t="str">
        <f aca="false">IF(AND(ISNUMBER(B15),ISNUMBER(B13),B13&gt;0),IFERROR(B15*G13/B13,""),"")</f>
        <v/>
      </c>
      <c r="E18" s="5" t="s">
        <v>25</v>
      </c>
      <c r="F18" s="5"/>
      <c r="G18" s="12" t="str">
        <f aca="false">IF(B14="","",INDEX(Reference!$B$7:$B$11,MATCH(B14,Reference!$A$7:$A$11,0)))</f>
        <v/>
      </c>
    </row>
    <row r="19" customFormat="false" ht="15" hidden="false" customHeight="true" outlineLevel="0" collapsed="false">
      <c r="A19" s="5" t="s">
        <v>26</v>
      </c>
      <c r="B19" s="11" t="str">
        <f aca="false">IF(AND(ISNUMBER(G16),ISNUMBER(B13),B13&gt;0),IFERROR(G16*G13/B13,""),"")</f>
        <v/>
      </c>
      <c r="E19" s="5" t="s">
        <v>27</v>
      </c>
      <c r="F19" s="5"/>
      <c r="G19" s="12" t="str">
        <f aca="false">IF(B14="","",INDEX(Reference!$C$7:$C$11,MATCH(B14,Reference!$A$7:$A$11,0)))</f>
        <v/>
      </c>
    </row>
    <row r="21" customFormat="false" ht="18" hidden="false" customHeight="true" outlineLevel="0" collapsed="false">
      <c r="A21" s="4" t="s">
        <v>28</v>
      </c>
      <c r="B21" s="4"/>
      <c r="C21" s="4"/>
      <c r="D21" s="4"/>
      <c r="E21" s="4"/>
      <c r="F21" s="4"/>
      <c r="G21" s="4"/>
      <c r="H21" s="4"/>
      <c r="I21" s="4"/>
    </row>
    <row r="22" customFormat="false" ht="23.85" hidden="false" customHeight="true" outlineLevel="0" collapsed="false">
      <c r="A22" s="5" t="s">
        <v>29</v>
      </c>
      <c r="B22" s="10"/>
      <c r="E22" s="5" t="s">
        <v>30</v>
      </c>
      <c r="F22" s="5"/>
      <c r="G22" s="10"/>
    </row>
    <row r="23" customFormat="false" ht="15" hidden="false" customHeight="true" outlineLevel="0" collapsed="false">
      <c r="A23" s="5" t="s">
        <v>31</v>
      </c>
      <c r="B23" s="8"/>
      <c r="E23" s="5" t="s">
        <v>32</v>
      </c>
      <c r="F23" s="5"/>
      <c r="G23" s="13"/>
    </row>
    <row r="24" customFormat="false" ht="15" hidden="false" customHeight="true" outlineLevel="0" collapsed="false">
      <c r="A24" s="5" t="s">
        <v>33</v>
      </c>
      <c r="B24" s="10"/>
      <c r="E24" s="5" t="s">
        <v>34</v>
      </c>
      <c r="F24" s="5"/>
      <c r="G24" s="14"/>
    </row>
    <row r="25" customFormat="false" ht="25.5" hidden="false" customHeight="true" outlineLevel="0" collapsed="false">
      <c r="A25" s="15" t="s">
        <v>35</v>
      </c>
      <c r="B25" s="15"/>
      <c r="C25" s="15"/>
      <c r="D25" s="15"/>
      <c r="E25" s="15"/>
      <c r="F25" s="15"/>
      <c r="G25" s="15"/>
      <c r="H25" s="15"/>
      <c r="I25" s="15"/>
    </row>
    <row r="27" customFormat="false" ht="18" hidden="false" customHeight="true" outlineLevel="0" collapsed="false">
      <c r="A27" s="4" t="s">
        <v>36</v>
      </c>
      <c r="B27" s="4"/>
      <c r="C27" s="4"/>
      <c r="D27" s="4"/>
      <c r="E27" s="4"/>
      <c r="F27" s="4"/>
      <c r="G27" s="4"/>
      <c r="H27" s="4"/>
      <c r="I27" s="4"/>
    </row>
    <row r="28" customFormat="false" ht="30" hidden="false" customHeight="true" outlineLevel="0" collapsed="false">
      <c r="A28" s="16" t="s">
        <v>37</v>
      </c>
      <c r="B28" s="16" t="s">
        <v>38</v>
      </c>
      <c r="C28" s="16" t="s">
        <v>39</v>
      </c>
      <c r="D28" s="16" t="s">
        <v>40</v>
      </c>
      <c r="E28" s="16" t="s">
        <v>41</v>
      </c>
    </row>
    <row r="29" customFormat="false" ht="23.85" hidden="false" customHeight="false" outlineLevel="0" collapsed="false">
      <c r="A29" s="5" t="s">
        <v>42</v>
      </c>
      <c r="B29" s="11" t="str">
        <f aca="false">B18</f>
        <v/>
      </c>
      <c r="C29" s="14"/>
      <c r="D29" s="17" t="str">
        <f aca="false">IF(AND(ISNUMBER(C29),ISNUMBER(B29),B29&gt;0),C29/B29-1,"")</f>
        <v/>
      </c>
      <c r="E29" s="18" t="str">
        <f aca="false">IF(D29="","",IF(NOT(ISNUMBER(B22)),"Enter tolerance",IF(ABS(D29)&lt;=B22/100,"PASS","FAIL")))</f>
        <v/>
      </c>
    </row>
    <row r="30" customFormat="false" ht="15" hidden="false" customHeight="false" outlineLevel="0" collapsed="false">
      <c r="A30" s="5" t="s">
        <v>43</v>
      </c>
      <c r="B30" s="18" t="s">
        <v>44</v>
      </c>
      <c r="C30" s="14"/>
      <c r="D30" s="11" t="str">
        <f aca="false">IF(AND(ISNUMBER(C30),ISNUMBER(C29),C29&gt;0),C30/C29,"")</f>
        <v/>
      </c>
      <c r="E30" s="18" t="str">
        <f aca="false">IF(D30="","",IF(NOT(ISNUMBER(G23)),"Enter tolerance",IF(D30&gt;=G23,"PASS","FAIL")))</f>
        <v/>
      </c>
    </row>
    <row r="32" customFormat="false" ht="18" hidden="false" customHeight="true" outlineLevel="0" collapsed="false">
      <c r="A32" s="4" t="s">
        <v>45</v>
      </c>
      <c r="B32" s="4"/>
      <c r="C32" s="4"/>
      <c r="D32" s="4"/>
      <c r="E32" s="4"/>
      <c r="F32" s="4"/>
      <c r="G32" s="4"/>
      <c r="H32" s="4"/>
      <c r="I32" s="4"/>
    </row>
    <row r="33" customFormat="false" ht="30" hidden="false" customHeight="true" outlineLevel="0" collapsed="false">
      <c r="A33" s="16" t="s">
        <v>46</v>
      </c>
      <c r="B33" s="16" t="s">
        <v>47</v>
      </c>
      <c r="C33" s="16" t="s">
        <v>48</v>
      </c>
      <c r="D33" s="16" t="s">
        <v>49</v>
      </c>
      <c r="E33" s="16" t="s">
        <v>50</v>
      </c>
      <c r="F33" s="16" t="s">
        <v>51</v>
      </c>
      <c r="G33" s="16" t="s">
        <v>41</v>
      </c>
    </row>
    <row r="34" customFormat="false" ht="15" hidden="false" customHeight="false" outlineLevel="0" collapsed="false">
      <c r="A34" s="10" t="n">
        <v>2</v>
      </c>
      <c r="B34" s="11" t="str">
        <f aca="false">IF(AND(ISNUMBER(A34),ISNUMBER($B$18)),A34*$B$18,"")</f>
        <v/>
      </c>
      <c r="C34" s="11" t="str">
        <f aca="false">IF(NOT(ISNUMBER(A34)),"",IF($B$14="Definite time",IF(ISNUMBER($B$16),$B$16,""),IF(AND(ISNUMBER($G$18),ISNUMBER($G$19),ISNUMBER($G$15),A34&gt;1),$G$15*$G$18/(A34^$G$19-1),"")))</f>
        <v/>
      </c>
      <c r="D34" s="14"/>
      <c r="E34" s="17" t="str">
        <f aca="false">IF(AND(ISNUMBER(C34),ISNUMBER(D34),C34&gt;0),D34/C34-1,"")</f>
        <v/>
      </c>
      <c r="F34" s="11" t="str">
        <f aca="false">IF(C34="","",IF(AND(NOT(ISNUMBER($G$22)),NOT(ISNUMBER($B$23))),"",MAX(IF(ISNUMBER($G$22),$G$22/100*C34,0),IF(ISNUMBER($B$23),$B$23/1000,0))))</f>
        <v/>
      </c>
      <c r="G34" s="18" t="str">
        <f aca="false">IF(OR(C34="",D34=""),"",IF(F34="","Enter tolerance",IF(ABS(D34-C34)&lt;=F34,"PASS","FAIL")))</f>
        <v/>
      </c>
    </row>
    <row r="35" customFormat="false" ht="15" hidden="false" customHeight="false" outlineLevel="0" collapsed="false">
      <c r="A35" s="10" t="n">
        <v>3</v>
      </c>
      <c r="B35" s="11" t="str">
        <f aca="false">IF(AND(ISNUMBER(A35),ISNUMBER($B$18)),A35*$B$18,"")</f>
        <v/>
      </c>
      <c r="C35" s="11" t="str">
        <f aca="false">IF(NOT(ISNUMBER(A35)),"",IF($B$14="Definite time",IF(ISNUMBER($B$16),$B$16,""),IF(AND(ISNUMBER($G$18),ISNUMBER($G$19),ISNUMBER($G$15),A35&gt;1),$G$15*$G$18/(A35^$G$19-1),"")))</f>
        <v/>
      </c>
      <c r="D35" s="14"/>
      <c r="E35" s="17" t="str">
        <f aca="false">IF(AND(ISNUMBER(C35),ISNUMBER(D35),C35&gt;0),D35/C35-1,"")</f>
        <v/>
      </c>
      <c r="F35" s="11" t="str">
        <f aca="false">IF(C35="","",IF(AND(NOT(ISNUMBER($G$22)),NOT(ISNUMBER($B$23))),"",MAX(IF(ISNUMBER($G$22),$G$22/100*C35,0),IF(ISNUMBER($B$23),$B$23/1000,0))))</f>
        <v/>
      </c>
      <c r="G35" s="18" t="str">
        <f aca="false">IF(OR(C35="",D35=""),"",IF(F35="","Enter tolerance",IF(ABS(D35-C35)&lt;=F35,"PASS","FAIL")))</f>
        <v/>
      </c>
    </row>
    <row r="36" customFormat="false" ht="15" hidden="false" customHeight="false" outlineLevel="0" collapsed="false">
      <c r="A36" s="10" t="n">
        <v>5</v>
      </c>
      <c r="B36" s="11" t="str">
        <f aca="false">IF(AND(ISNUMBER(A36),ISNUMBER($B$18)),A36*$B$18,"")</f>
        <v/>
      </c>
      <c r="C36" s="11" t="str">
        <f aca="false">IF(NOT(ISNUMBER(A36)),"",IF($B$14="Definite time",IF(ISNUMBER($B$16),$B$16,""),IF(AND(ISNUMBER($G$18),ISNUMBER($G$19),ISNUMBER($G$15),A36&gt;1),$G$15*$G$18/(A36^$G$19-1),"")))</f>
        <v/>
      </c>
      <c r="D36" s="14"/>
      <c r="E36" s="17" t="str">
        <f aca="false">IF(AND(ISNUMBER(C36),ISNUMBER(D36),C36&gt;0),D36/C36-1,"")</f>
        <v/>
      </c>
      <c r="F36" s="11" t="str">
        <f aca="false">IF(C36="","",IF(AND(NOT(ISNUMBER($G$22)),NOT(ISNUMBER($B$23))),"",MAX(IF(ISNUMBER($G$22),$G$22/100*C36,0),IF(ISNUMBER($B$23),$B$23/1000,0))))</f>
        <v/>
      </c>
      <c r="G36" s="18" t="str">
        <f aca="false">IF(OR(C36="",D36=""),"",IF(F36="","Enter tolerance",IF(ABS(D36-C36)&lt;=F36,"PASS","FAIL")))</f>
        <v/>
      </c>
    </row>
    <row r="37" customFormat="false" ht="15" hidden="false" customHeight="false" outlineLevel="0" collapsed="false">
      <c r="A37" s="10" t="n">
        <v>10</v>
      </c>
      <c r="B37" s="11" t="str">
        <f aca="false">IF(AND(ISNUMBER(A37),ISNUMBER($B$18)),A37*$B$18,"")</f>
        <v/>
      </c>
      <c r="C37" s="11" t="str">
        <f aca="false">IF(NOT(ISNUMBER(A37)),"",IF($B$14="Definite time",IF(ISNUMBER($B$16),$B$16,""),IF(AND(ISNUMBER($G$18),ISNUMBER($G$19),ISNUMBER($G$15),A37&gt;1),$G$15*$G$18/(A37^$G$19-1),"")))</f>
        <v/>
      </c>
      <c r="D37" s="14"/>
      <c r="E37" s="17" t="str">
        <f aca="false">IF(AND(ISNUMBER(C37),ISNUMBER(D37),C37&gt;0),D37/C37-1,"")</f>
        <v/>
      </c>
      <c r="F37" s="11" t="str">
        <f aca="false">IF(C37="","",IF(AND(NOT(ISNUMBER($G$22)),NOT(ISNUMBER($B$23))),"",MAX(IF(ISNUMBER($G$22),$G$22/100*C37,0),IF(ISNUMBER($B$23),$B$23/1000,0))))</f>
        <v/>
      </c>
      <c r="G37" s="18" t="str">
        <f aca="false">IF(OR(C37="",D37=""),"",IF(F37="","Enter tolerance",IF(ABS(D37-C37)&lt;=F37,"PASS","FAIL")))</f>
        <v/>
      </c>
    </row>
    <row r="38" customFormat="false" ht="15" hidden="false" customHeight="false" outlineLevel="0" collapsed="false">
      <c r="A38" s="10" t="n">
        <v>20</v>
      </c>
      <c r="B38" s="11" t="str">
        <f aca="false">IF(AND(ISNUMBER(A38),ISNUMBER($B$18)),A38*$B$18,"")</f>
        <v/>
      </c>
      <c r="C38" s="11" t="str">
        <f aca="false">IF(NOT(ISNUMBER(A38)),"",IF($B$14="Definite time",IF(ISNUMBER($B$16),$B$16,""),IF(AND(ISNUMBER($G$18),ISNUMBER($G$19),ISNUMBER($G$15),A38&gt;1),$G$15*$G$18/(A38^$G$19-1),"")))</f>
        <v/>
      </c>
      <c r="D38" s="14"/>
      <c r="E38" s="17" t="str">
        <f aca="false">IF(AND(ISNUMBER(C38),ISNUMBER(D38),C38&gt;0),D38/C38-1,"")</f>
        <v/>
      </c>
      <c r="F38" s="11" t="str">
        <f aca="false">IF(C38="","",IF(AND(NOT(ISNUMBER($G$22)),NOT(ISNUMBER($B$23))),"",MAX(IF(ISNUMBER($G$22),$G$22/100*C38,0),IF(ISNUMBER($B$23),$B$23/1000,0))))</f>
        <v/>
      </c>
      <c r="G38" s="18" t="str">
        <f aca="false">IF(OR(C38="",D38=""),"",IF(F38="","Enter tolerance",IF(ABS(D38-C38)&lt;=F38,"PASS","FAIL")))</f>
        <v/>
      </c>
    </row>
    <row r="39" customFormat="false" ht="15" hidden="false" customHeight="false" outlineLevel="0" collapsed="false">
      <c r="A39" s="10"/>
      <c r="B39" s="11" t="str">
        <f aca="false">IF(AND(ISNUMBER(A39),ISNUMBER($B$18)),A39*$B$18,"")</f>
        <v/>
      </c>
      <c r="C39" s="11" t="str">
        <f aca="false">IF(NOT(ISNUMBER(A39)),"",IF($B$14="Definite time",IF(ISNUMBER($B$16),$B$16,""),IF(AND(ISNUMBER($G$18),ISNUMBER($G$19),ISNUMBER($G$15),A39&gt;1),$G$15*$G$18/(A39^$G$19-1),"")))</f>
        <v/>
      </c>
      <c r="D39" s="14"/>
      <c r="E39" s="17" t="str">
        <f aca="false">IF(AND(ISNUMBER(C39),ISNUMBER(D39),C39&gt;0),D39/C39-1,"")</f>
        <v/>
      </c>
      <c r="F39" s="11" t="str">
        <f aca="false">IF(C39="","",IF(AND(NOT(ISNUMBER($G$22)),NOT(ISNUMBER($B$23))),"",MAX(IF(ISNUMBER($G$22),$G$22/100*C39,0),IF(ISNUMBER($B$23),$B$23/1000,0))))</f>
        <v/>
      </c>
      <c r="G39" s="18" t="str">
        <f aca="false">IF(OR(C39="",D39=""),"",IF(F39="","Enter tolerance",IF(ABS(D39-C39)&lt;=F39,"PASS","FAIL")))</f>
        <v/>
      </c>
    </row>
    <row r="40" customFormat="false" ht="27.75" hidden="false" customHeight="true" outlineLevel="0" collapsed="false">
      <c r="A40" s="15" t="s">
        <v>52</v>
      </c>
      <c r="B40" s="15"/>
      <c r="C40" s="15"/>
      <c r="D40" s="15"/>
      <c r="E40" s="15"/>
      <c r="F40" s="15"/>
      <c r="G40" s="15"/>
      <c r="H40" s="15"/>
      <c r="I40" s="15"/>
    </row>
    <row r="42" customFormat="false" ht="18" hidden="false" customHeight="true" outlineLevel="0" collapsed="false">
      <c r="A42" s="4" t="s">
        <v>53</v>
      </c>
      <c r="B42" s="4"/>
      <c r="C42" s="4"/>
      <c r="D42" s="4"/>
      <c r="E42" s="4"/>
      <c r="F42" s="4"/>
      <c r="G42" s="4"/>
      <c r="H42" s="4"/>
      <c r="I42" s="4"/>
    </row>
    <row r="43" customFormat="false" ht="15" hidden="false" customHeight="false" outlineLevel="0" collapsed="false">
      <c r="A43" s="16" t="s">
        <v>37</v>
      </c>
      <c r="B43" s="16" t="s">
        <v>54</v>
      </c>
      <c r="C43" s="16" t="s">
        <v>55</v>
      </c>
      <c r="D43" s="16" t="s">
        <v>56</v>
      </c>
      <c r="E43" s="16" t="s">
        <v>41</v>
      </c>
    </row>
    <row r="44" customFormat="false" ht="15" hidden="false" customHeight="false" outlineLevel="0" collapsed="false">
      <c r="A44" s="5" t="s">
        <v>57</v>
      </c>
      <c r="B44" s="11" t="str">
        <f aca="false">B19</f>
        <v/>
      </c>
      <c r="C44" s="14"/>
      <c r="D44" s="17" t="str">
        <f aca="false">IF(AND(ISNUMBER(C44),ISNUMBER(B44),B44&gt;0),C44/B44-1,"")</f>
        <v/>
      </c>
      <c r="E44" s="18" t="str">
        <f aca="false">IF(D44="","",IF(NOT(ISNUMBER(B24)),"Enter tolerance",IF(ABS(D44)&lt;=B24/100,"PASS","FAIL")))</f>
        <v/>
      </c>
    </row>
    <row r="45" customFormat="false" ht="23.85" hidden="false" customHeight="false" outlineLevel="0" collapsed="false">
      <c r="A45" s="5" t="s">
        <v>58</v>
      </c>
      <c r="B45" s="11" t="str">
        <f aca="false">IF(ISNUMBER(B17),B17,"")</f>
        <v/>
      </c>
      <c r="C45" s="14"/>
      <c r="D45" s="19" t="str">
        <f aca="false">IF(AND(ISNUMBER(C45),ISNUMBER(B45)),C45-B45,"")</f>
        <v/>
      </c>
      <c r="E45" s="18" t="str">
        <f aca="false">IF(D45="","",IF(NOT(ISNUMBER(G24)),"Enter tolerance",IF(ABS(D45)&lt;=G24,"PASS","FAIL")))</f>
        <v/>
      </c>
    </row>
    <row r="47" customFormat="false" ht="18" hidden="false" customHeight="true" outlineLevel="0" collapsed="false">
      <c r="A47" s="4" t="s">
        <v>59</v>
      </c>
      <c r="B47" s="4"/>
      <c r="C47" s="4"/>
      <c r="D47" s="4"/>
      <c r="E47" s="4"/>
      <c r="F47" s="4"/>
      <c r="G47" s="4"/>
      <c r="H47" s="4"/>
      <c r="I47" s="4"/>
    </row>
    <row r="48" customFormat="false" ht="15" hidden="false" customHeight="true" outlineLevel="0" collapsed="false">
      <c r="A48" s="16" t="s">
        <v>60</v>
      </c>
      <c r="B48" s="16" t="s">
        <v>61</v>
      </c>
      <c r="C48" s="20" t="s">
        <v>62</v>
      </c>
      <c r="D48" s="20"/>
      <c r="E48" s="20"/>
      <c r="F48" s="20"/>
      <c r="G48" s="20"/>
      <c r="H48" s="20"/>
      <c r="I48" s="20"/>
    </row>
    <row r="49" customFormat="false" ht="24" hidden="false" customHeight="true" outlineLevel="0" collapsed="false">
      <c r="A49" s="5" t="s">
        <v>63</v>
      </c>
      <c r="B49" s="21"/>
      <c r="C49" s="6"/>
      <c r="D49" s="6"/>
      <c r="E49" s="6"/>
      <c r="F49" s="6"/>
      <c r="G49" s="6"/>
      <c r="H49" s="6"/>
      <c r="I49" s="6"/>
    </row>
    <row r="50" customFormat="false" ht="24" hidden="false" customHeight="true" outlineLevel="0" collapsed="false">
      <c r="A50" s="5" t="s">
        <v>64</v>
      </c>
      <c r="B50" s="21"/>
      <c r="C50" s="6"/>
      <c r="D50" s="6"/>
      <c r="E50" s="6"/>
      <c r="F50" s="6"/>
      <c r="G50" s="6"/>
      <c r="H50" s="6"/>
      <c r="I50" s="6"/>
    </row>
    <row r="51" customFormat="false" ht="24" hidden="false" customHeight="true" outlineLevel="0" collapsed="false">
      <c r="A51" s="5" t="s">
        <v>65</v>
      </c>
      <c r="B51" s="21"/>
      <c r="C51" s="6"/>
      <c r="D51" s="6"/>
      <c r="E51" s="6"/>
      <c r="F51" s="6"/>
      <c r="G51" s="6"/>
      <c r="H51" s="6"/>
      <c r="I51" s="6"/>
    </row>
    <row r="52" customFormat="false" ht="24" hidden="false" customHeight="true" outlineLevel="0" collapsed="false">
      <c r="A52" s="5" t="s">
        <v>66</v>
      </c>
      <c r="B52" s="21"/>
      <c r="C52" s="6"/>
      <c r="D52" s="6"/>
      <c r="E52" s="6"/>
      <c r="F52" s="6"/>
      <c r="G52" s="6"/>
      <c r="H52" s="6"/>
      <c r="I52" s="6"/>
    </row>
    <row r="53" customFormat="false" ht="24" hidden="false" customHeight="true" outlineLevel="0" collapsed="false">
      <c r="A53" s="5" t="s">
        <v>67</v>
      </c>
      <c r="B53" s="21"/>
      <c r="C53" s="6"/>
      <c r="D53" s="6"/>
      <c r="E53" s="6"/>
      <c r="F53" s="6"/>
      <c r="G53" s="6"/>
      <c r="H53" s="6"/>
      <c r="I53" s="6"/>
    </row>
    <row r="54" customFormat="false" ht="24" hidden="false" customHeight="true" outlineLevel="0" collapsed="false">
      <c r="A54" s="5" t="s">
        <v>68</v>
      </c>
      <c r="B54" s="21"/>
      <c r="C54" s="6"/>
      <c r="D54" s="6"/>
      <c r="E54" s="6"/>
      <c r="F54" s="6"/>
      <c r="G54" s="6"/>
      <c r="H54" s="6"/>
      <c r="I54" s="6"/>
    </row>
    <row r="55" customFormat="false" ht="24" hidden="false" customHeight="true" outlineLevel="0" collapsed="false">
      <c r="A55" s="5" t="s">
        <v>69</v>
      </c>
      <c r="B55" s="21"/>
      <c r="C55" s="6"/>
      <c r="D55" s="6"/>
      <c r="E55" s="6"/>
      <c r="F55" s="6"/>
      <c r="G55" s="6"/>
      <c r="H55" s="6"/>
      <c r="I55" s="6"/>
    </row>
    <row r="56" customFormat="false" ht="24" hidden="false" customHeight="true" outlineLevel="0" collapsed="false">
      <c r="A56" s="5" t="s">
        <v>70</v>
      </c>
      <c r="B56" s="21"/>
      <c r="C56" s="6"/>
      <c r="D56" s="6"/>
      <c r="E56" s="6"/>
      <c r="F56" s="6"/>
      <c r="G56" s="6"/>
      <c r="H56" s="6"/>
      <c r="I56" s="6"/>
    </row>
    <row r="58" customFormat="false" ht="18" hidden="false" customHeight="true" outlineLevel="0" collapsed="false">
      <c r="A58" s="4" t="s">
        <v>71</v>
      </c>
      <c r="B58" s="4"/>
      <c r="C58" s="4"/>
      <c r="D58" s="4"/>
      <c r="E58" s="4"/>
      <c r="F58" s="4"/>
      <c r="G58" s="4"/>
      <c r="H58" s="4"/>
      <c r="I58" s="4"/>
    </row>
    <row r="59" customFormat="false" ht="15" hidden="false" customHeight="false" outlineLevel="0" collapsed="false">
      <c r="A59" s="5" t="s">
        <v>72</v>
      </c>
      <c r="B59" s="22" t="n">
        <f aca="false">COUNTIF(E29:E30,"PASS")+COUNTIF(G34:G39,"PASS")+COUNTIF(E44:E45,"PASS")</f>
        <v>0</v>
      </c>
    </row>
    <row r="60" customFormat="false" ht="15" hidden="false" customHeight="false" outlineLevel="0" collapsed="false">
      <c r="A60" s="5" t="s">
        <v>73</v>
      </c>
      <c r="B60" s="22" t="n">
        <f aca="false">COUNTIF(E29:E30,"FAIL")+COUNTIF(G34:G39,"FAIL")+COUNTIF(E44:E45,"FAIL")+COUNTIF(B49:B56,"Not OK")</f>
        <v>0</v>
      </c>
    </row>
    <row r="61" customFormat="false" ht="15" hidden="false" customHeight="false" outlineLevel="0" collapsed="false">
      <c r="A61" s="5" t="s">
        <v>74</v>
      </c>
      <c r="B61" s="22" t="n">
        <f aca="false">COUNTIF(E29:E30,"Enter tolerance")+COUNTIF(G34:G39,"Enter tolerance")+COUNTIF(E44:E45,"Enter tolerance")</f>
        <v>0</v>
      </c>
    </row>
    <row r="62" customFormat="false" ht="15" hidden="false" customHeight="false" outlineLevel="0" collapsed="false">
      <c r="A62" s="5" t="s">
        <v>75</v>
      </c>
      <c r="B62" s="23" t="str">
        <f aca="false">IF(B59+B60+B61=0,"",IF(B60&gt;0,"FAIL - "&amp;B60&amp;" item(s) outside tolerance or marked Not OK",IF(B61&gt;0,"INCOMPLETE - enter the missing tolerances","PASS - all "&amp;B59&amp;" tests within tolerance")))</f>
        <v/>
      </c>
      <c r="C62" s="23"/>
      <c r="D62" s="23"/>
      <c r="E62" s="23"/>
      <c r="F62" s="23"/>
      <c r="G62" s="23"/>
      <c r="H62" s="23"/>
      <c r="I62" s="23"/>
    </row>
    <row r="63" customFormat="false" ht="15" hidden="false" customHeight="false" outlineLevel="0" collapsed="false">
      <c r="A63" s="5" t="s">
        <v>76</v>
      </c>
      <c r="B63" s="24"/>
      <c r="C63" s="24"/>
      <c r="D63" s="24"/>
      <c r="E63" s="24"/>
      <c r="F63" s="24"/>
      <c r="G63" s="24"/>
      <c r="H63" s="24"/>
      <c r="I63" s="24"/>
    </row>
    <row r="64" customFormat="false" ht="15" hidden="false" customHeight="false" outlineLevel="0" collapsed="false">
      <c r="B64" s="24"/>
      <c r="C64" s="24"/>
      <c r="D64" s="24"/>
      <c r="E64" s="24"/>
      <c r="F64" s="24"/>
      <c r="G64" s="24"/>
      <c r="H64" s="24"/>
      <c r="I64" s="24"/>
    </row>
    <row r="65" customFormat="false" ht="15" hidden="false" customHeight="false" outlineLevel="0" collapsed="false">
      <c r="B65" s="24"/>
      <c r="C65" s="24"/>
      <c r="D65" s="24"/>
      <c r="E65" s="24"/>
      <c r="F65" s="24"/>
      <c r="G65" s="24"/>
      <c r="H65" s="24"/>
      <c r="I65" s="24"/>
    </row>
    <row r="66" customFormat="false" ht="27.75" hidden="false" customHeight="true" outlineLevel="0" collapsed="false">
      <c r="A66" s="5" t="s">
        <v>77</v>
      </c>
      <c r="B66" s="6"/>
      <c r="C66" s="6"/>
      <c r="D66" s="6"/>
      <c r="E66" s="5" t="s">
        <v>78</v>
      </c>
      <c r="F66" s="5"/>
      <c r="G66" s="6"/>
      <c r="H66" s="6"/>
      <c r="I66" s="6"/>
    </row>
  </sheetData>
  <sheetProtection sheet="true" formatColumns="false" formatRows="false"/>
  <mergeCells count="53">
    <mergeCell ref="A1:I1"/>
    <mergeCell ref="A2:I2"/>
    <mergeCell ref="A3:I3"/>
    <mergeCell ref="A5:I5"/>
    <mergeCell ref="B6:D6"/>
    <mergeCell ref="E6:F6"/>
    <mergeCell ref="G6:I6"/>
    <mergeCell ref="B7:D7"/>
    <mergeCell ref="E7:F7"/>
    <mergeCell ref="G7:I7"/>
    <mergeCell ref="B8:D8"/>
    <mergeCell ref="E8:F8"/>
    <mergeCell ref="G8:I8"/>
    <mergeCell ref="B9:D9"/>
    <mergeCell ref="E9:F9"/>
    <mergeCell ref="G9:I9"/>
    <mergeCell ref="B10:D10"/>
    <mergeCell ref="E10:F10"/>
    <mergeCell ref="G10:I10"/>
    <mergeCell ref="A12:I12"/>
    <mergeCell ref="E13:F13"/>
    <mergeCell ref="B14:D14"/>
    <mergeCell ref="E14:F14"/>
    <mergeCell ref="G14:I14"/>
    <mergeCell ref="E15:F15"/>
    <mergeCell ref="E16:F16"/>
    <mergeCell ref="E18:F18"/>
    <mergeCell ref="E19:F19"/>
    <mergeCell ref="A21:I21"/>
    <mergeCell ref="E22:F22"/>
    <mergeCell ref="E23:F23"/>
    <mergeCell ref="E24:F24"/>
    <mergeCell ref="A25:I25"/>
    <mergeCell ref="A27:I27"/>
    <mergeCell ref="A32:I32"/>
    <mergeCell ref="A40:I40"/>
    <mergeCell ref="A42:I42"/>
    <mergeCell ref="A47:I47"/>
    <mergeCell ref="C48:I48"/>
    <mergeCell ref="C49:I49"/>
    <mergeCell ref="C50:I50"/>
    <mergeCell ref="C51:I51"/>
    <mergeCell ref="C52:I52"/>
    <mergeCell ref="C53:I53"/>
    <mergeCell ref="C54:I54"/>
    <mergeCell ref="C55:I55"/>
    <mergeCell ref="C56:I56"/>
    <mergeCell ref="A58:I58"/>
    <mergeCell ref="B62:I62"/>
    <mergeCell ref="B63:I65"/>
    <mergeCell ref="B66:D66"/>
    <mergeCell ref="E66:F66"/>
    <mergeCell ref="G66:I66"/>
  </mergeCells>
  <conditionalFormatting sqref="B49:B56">
    <cfRule type="expression" priority="2" aboveAverage="0" equalAverage="0" bottom="0" percent="0" rank="0" text="" dxfId="0">
      <formula>OR(ISNUMBER(SEARCH("BELOW",B49)),ISNUMBER(SEARCH("Dangerous",B49)),ISNUMBER(SEARCH("Outside",B49)),ISNUMBER(SEARCH("FAIL",B49)),ISNUMBER(SEARCH("Not OK",B49)),ISNUMBER(SEARCH("Invalid",B49)),ISNUMBER(SEARCH("Not valid",B49)))</formula>
    </cfRule>
    <cfRule type="expression" priority="3" aboveAverage="0" equalAverage="0" bottom="0" percent="0" rank="0" text="" dxfId="1">
      <formula>OR(ISNUMBER(SEARCH("REVIEW",B49)),ISNUMBER(SEARCH("INCOMPLETE",B49)),ISNUMBER(SEARCH("Questionable",B49)),ISNUMBER(SEARCH("Poor",B49)),ISNUMBER(SEARCH("Check",B49)))</formula>
    </cfRule>
    <cfRule type="expression" priority="4" aboveAverage="0" equalAverage="0" bottom="0" percent="0" rank="0" text="" dxfId="2">
      <formula>OR(ISNUMBER(SEARCH("PASS",B49)),ISNUMBER(SEARCH("Meets",B49)),ISNUMBER(SEARCH("Good",B49)),ISNUMBER(SEARCH("Excellent",B49)),ISNUMBER(SEARCH("Acceptable",B49)),ISNUMBER(SEARCH("Within",B49)),ISNUMBER(SEARCH("Valid",B49)),ISNUMBER(SEARCH("OK",B49)))</formula>
    </cfRule>
  </conditionalFormatting>
  <conditionalFormatting sqref="E29:E30">
    <cfRule type="expression" priority="5" aboveAverage="0" equalAverage="0" bottom="0" percent="0" rank="0" text="" dxfId="0">
      <formula>OR(ISNUMBER(SEARCH("BELOW",E29)),ISNUMBER(SEARCH("Dangerous",E29)),ISNUMBER(SEARCH("Outside",E29)),ISNUMBER(SEARCH("FAIL",E29)),ISNUMBER(SEARCH("Not OK",E29)),ISNUMBER(SEARCH("Invalid",E29)),ISNUMBER(SEARCH("Not valid",E29)))</formula>
    </cfRule>
    <cfRule type="expression" priority="6" aboveAverage="0" equalAverage="0" bottom="0" percent="0" rank="0" text="" dxfId="1">
      <formula>OR(ISNUMBER(SEARCH("REVIEW",E29)),ISNUMBER(SEARCH("INCOMPLETE",E29)),ISNUMBER(SEARCH("Questionable",E29)),ISNUMBER(SEARCH("Poor",E29)),ISNUMBER(SEARCH("Check",E29)))</formula>
    </cfRule>
    <cfRule type="expression" priority="7" aboveAverage="0" equalAverage="0" bottom="0" percent="0" rank="0" text="" dxfId="2">
      <formula>OR(ISNUMBER(SEARCH("PASS",E29)),ISNUMBER(SEARCH("Meets",E29)),ISNUMBER(SEARCH("Good",E29)),ISNUMBER(SEARCH("Excellent",E29)),ISNUMBER(SEARCH("Acceptable",E29)),ISNUMBER(SEARCH("Within",E29)),ISNUMBER(SEARCH("Valid",E29)),ISNUMBER(SEARCH("OK",E29)))</formula>
    </cfRule>
  </conditionalFormatting>
  <conditionalFormatting sqref="G34:G39">
    <cfRule type="expression" priority="8" aboveAverage="0" equalAverage="0" bottom="0" percent="0" rank="0" text="" dxfId="0">
      <formula>OR(ISNUMBER(SEARCH("BELOW",G34)),ISNUMBER(SEARCH("Dangerous",G34)),ISNUMBER(SEARCH("Outside",G34)),ISNUMBER(SEARCH("FAIL",G34)),ISNUMBER(SEARCH("Not OK",G34)),ISNUMBER(SEARCH("Invalid",G34)),ISNUMBER(SEARCH("Not valid",G34)))</formula>
    </cfRule>
    <cfRule type="expression" priority="9" aboveAverage="0" equalAverage="0" bottom="0" percent="0" rank="0" text="" dxfId="1">
      <formula>OR(ISNUMBER(SEARCH("REVIEW",G34)),ISNUMBER(SEARCH("INCOMPLETE",G34)),ISNUMBER(SEARCH("Questionable",G34)),ISNUMBER(SEARCH("Poor",G34)),ISNUMBER(SEARCH("Check",G34)))</formula>
    </cfRule>
    <cfRule type="expression" priority="10" aboveAverage="0" equalAverage="0" bottom="0" percent="0" rank="0" text="" dxfId="2">
      <formula>OR(ISNUMBER(SEARCH("PASS",G34)),ISNUMBER(SEARCH("Meets",G34)),ISNUMBER(SEARCH("Good",G34)),ISNUMBER(SEARCH("Excellent",G34)),ISNUMBER(SEARCH("Acceptable",G34)),ISNUMBER(SEARCH("Within",G34)),ISNUMBER(SEARCH("Valid",G34)),ISNUMBER(SEARCH("OK",G34)))</formula>
    </cfRule>
  </conditionalFormatting>
  <conditionalFormatting sqref="E44:E45">
    <cfRule type="expression" priority="11" aboveAverage="0" equalAverage="0" bottom="0" percent="0" rank="0" text="" dxfId="0">
      <formula>OR(ISNUMBER(SEARCH("BELOW",E44)),ISNUMBER(SEARCH("Dangerous",E44)),ISNUMBER(SEARCH("Outside",E44)),ISNUMBER(SEARCH("FAIL",E44)),ISNUMBER(SEARCH("Not OK",E44)),ISNUMBER(SEARCH("Invalid",E44)),ISNUMBER(SEARCH("Not valid",E44)))</formula>
    </cfRule>
    <cfRule type="expression" priority="12" aboveAverage="0" equalAverage="0" bottom="0" percent="0" rank="0" text="" dxfId="1">
      <formula>OR(ISNUMBER(SEARCH("REVIEW",E44)),ISNUMBER(SEARCH("INCOMPLETE",E44)),ISNUMBER(SEARCH("Questionable",E44)),ISNUMBER(SEARCH("Poor",E44)),ISNUMBER(SEARCH("Check",E44)))</formula>
    </cfRule>
    <cfRule type="expression" priority="13" aboveAverage="0" equalAverage="0" bottom="0" percent="0" rank="0" text="" dxfId="2">
      <formula>OR(ISNUMBER(SEARCH("PASS",E44)),ISNUMBER(SEARCH("Meets",E44)),ISNUMBER(SEARCH("Good",E44)),ISNUMBER(SEARCH("Excellent",E44)),ISNUMBER(SEARCH("Acceptable",E44)),ISNUMBER(SEARCH("Within",E44)),ISNUMBER(SEARCH("Valid",E44)),ISNUMBER(SEARCH("OK",E44)))</formula>
    </cfRule>
  </conditionalFormatting>
  <conditionalFormatting sqref="B62">
    <cfRule type="expression" priority="14" aboveAverage="0" equalAverage="0" bottom="0" percent="0" rank="0" text="" dxfId="0">
      <formula>OR(ISNUMBER(SEARCH("BELOW",B62)),ISNUMBER(SEARCH("Dangerous",B62)),ISNUMBER(SEARCH("Outside",B62)),ISNUMBER(SEARCH("FAIL",B62)),ISNUMBER(SEARCH("Not OK",B62)),ISNUMBER(SEARCH("Invalid",B62)),ISNUMBER(SEARCH("Not valid",B62)))</formula>
    </cfRule>
    <cfRule type="expression" priority="15" aboveAverage="0" equalAverage="0" bottom="0" percent="0" rank="0" text="" dxfId="1">
      <formula>OR(ISNUMBER(SEARCH("REVIEW",B62)),ISNUMBER(SEARCH("INCOMPLETE",B62)),ISNUMBER(SEARCH("Questionable",B62)),ISNUMBER(SEARCH("Poor",B62)),ISNUMBER(SEARCH("Check",B62)))</formula>
    </cfRule>
    <cfRule type="expression" priority="16" aboveAverage="0" equalAverage="0" bottom="0" percent="0" rank="0" text="" dxfId="2">
      <formula>OR(ISNUMBER(SEARCH("PASS",B62)),ISNUMBER(SEARCH("Meets",B62)),ISNUMBER(SEARCH("Good",B62)),ISNUMBER(SEARCH("Excellent",B62)),ISNUMBER(SEARCH("Acceptable",B62)),ISNUMBER(SEARCH("Within",B62)),ISNUMBER(SEARCH("Valid",B62)),ISNUMBER(SEARCH("OK",B62)))</formula>
    </cfRule>
  </conditionalFormatting>
  <dataValidations count="19">
    <dataValidation allowBlank="true" error="Pick a value from the list" errorStyle="stop" errorTitle="Invalid entry" operator="between" showDropDown="false" showErrorMessage="false" showInputMessage="false" sqref="G13" type="list">
      <formula1>"1,5"</formula1>
      <formula2>0</formula2>
    </dataValidation>
    <dataValidation allowBlank="true" error="Pick a value from the list" errorStyle="stop" errorTitle="Invalid entry" operator="between" showDropDown="false" showErrorMessage="false" showInputMessage="false" sqref="B14" type="list">
      <formula1>"Standard inverse,Very inverse,Extremely inverse,Long-time inverse,Definite time"</formula1>
      <formula2>0</formula2>
    </dataValidation>
    <dataValidation allowBlank="true" error="Enter a number" errorStyle="stop" errorTitle="Invalid entry" operator="greaterThanOrEqual" showDropDown="false" showErrorMessage="false" showInputMessage="false" sqref="B13" type="decimal">
      <formula1>0</formula1>
      <formula2>0</formula2>
    </dataValidation>
    <dataValidation allowBlank="true" error="Enter a number" errorStyle="stop" errorTitle="Invalid entry" operator="greaterThanOrEqual" showDropDown="false" showErrorMessage="false" showInputMessage="false" sqref="B15:B17" type="decimal">
      <formula1>0</formula1>
      <formula2>0</formula2>
    </dataValidation>
    <dataValidation allowBlank="true" error="Enter a number" errorStyle="stop" errorTitle="Invalid entry" operator="greaterThanOrEqual" showDropDown="false" showErrorMessage="false" showInputMessage="false" sqref="G15:G16" type="decimal">
      <formula1>0</formula1>
      <formula2>0</formula2>
    </dataValidation>
    <dataValidation allowBlank="true" error="Enter a number" errorStyle="stop" errorTitle="Invalid entry" operator="greaterThanOrEqual" showDropDown="false" showErrorMessage="false" showInputMessage="false" sqref="B22:B24" type="decimal">
      <formula1>0</formula1>
      <formula2>0</formula2>
    </dataValidation>
    <dataValidation allowBlank="true" error="Enter a number" errorStyle="stop" errorTitle="Invalid entry" operator="greaterThanOrEqual" showDropDown="false" showErrorMessage="false" showInputMessage="false" sqref="G22:G24" type="decimal">
      <formula1>0</formula1>
      <formula2>0</formula2>
    </dataValidation>
    <dataValidation allowBlank="true" error="Enter a number" errorStyle="stop" errorTitle="Invalid entry" operator="greaterThanOrEqual" showDropDown="false" showErrorMessage="false" showInputMessage="false" sqref="C29:C30" type="decimal">
      <formula1>0</formula1>
      <formula2>0</formula2>
    </dataValidation>
    <dataValidation allowBlank="true" error="Enter a number" errorStyle="stop" errorTitle="Invalid entry" operator="greaterThanOrEqual" showDropDown="false" showErrorMessage="false" showInputMessage="false" sqref="A34:A39" type="decimal">
      <formula1>0</formula1>
      <formula2>0</formula2>
    </dataValidation>
    <dataValidation allowBlank="true" error="Enter a number" errorStyle="stop" errorTitle="Invalid entry" operator="greaterThanOrEqual" showDropDown="false" showErrorMessage="false" showInputMessage="false" sqref="D34:D39" type="decimal">
      <formula1>0</formula1>
      <formula2>0</formula2>
    </dataValidation>
    <dataValidation allowBlank="true" error="Enter a number" errorStyle="stop" errorTitle="Invalid entry" operator="greaterThanOrEqual" showDropDown="false" showErrorMessage="false" showInputMessage="false" sqref="C44:C45" type="decimal">
      <formula1>0</formula1>
      <formula2>0</formula2>
    </dataValidation>
    <dataValidation allowBlank="true" error="Pick a value from the list" errorStyle="stop" errorTitle="Invalid entry" operator="between" showDropDown="false" showErrorMessage="false" showInputMessage="false" sqref="B49" type="list">
      <formula1>"OK,Not OK,N/A"</formula1>
      <formula2>0</formula2>
    </dataValidation>
    <dataValidation allowBlank="true" error="Pick a value from the list" errorStyle="stop" errorTitle="Invalid entry" operator="between" showDropDown="false" showErrorMessage="false" showInputMessage="false" sqref="B50" type="list">
      <formula1>"OK,Not OK,N/A"</formula1>
      <formula2>0</formula2>
    </dataValidation>
    <dataValidation allowBlank="true" error="Pick a value from the list" errorStyle="stop" errorTitle="Invalid entry" operator="between" showDropDown="false" showErrorMessage="false" showInputMessage="false" sqref="B51" type="list">
      <formula1>"OK,Not OK,N/A"</formula1>
      <formula2>0</formula2>
    </dataValidation>
    <dataValidation allowBlank="true" error="Pick a value from the list" errorStyle="stop" errorTitle="Invalid entry" operator="between" showDropDown="false" showErrorMessage="false" showInputMessage="false" sqref="B52" type="list">
      <formula1>"OK,Not OK,N/A"</formula1>
      <formula2>0</formula2>
    </dataValidation>
    <dataValidation allowBlank="true" error="Pick a value from the list" errorStyle="stop" errorTitle="Invalid entry" operator="between" showDropDown="false" showErrorMessage="false" showInputMessage="false" sqref="B53" type="list">
      <formula1>"OK,Not OK,N/A"</formula1>
      <formula2>0</formula2>
    </dataValidation>
    <dataValidation allowBlank="true" error="Pick a value from the list" errorStyle="stop" errorTitle="Invalid entry" operator="between" showDropDown="false" showErrorMessage="false" showInputMessage="false" sqref="B54" type="list">
      <formula1>"OK,Not OK,N/A"</formula1>
      <formula2>0</formula2>
    </dataValidation>
    <dataValidation allowBlank="true" error="Pick a value from the list" errorStyle="stop" errorTitle="Invalid entry" operator="between" showDropDown="false" showErrorMessage="false" showInputMessage="false" sqref="B55" type="list">
      <formula1>"OK,Not OK,N/A"</formula1>
      <formula2>0</formula2>
    </dataValidation>
    <dataValidation allowBlank="true" error="Pick a value from the list" errorStyle="stop" errorTitle="Invalid entry" operator="between" showDropDown="false" showErrorMessage="false" showInputMessage="false" sqref="B56" type="list">
      <formula1>"OK,Not OK,N/A"</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Cambridge Instruments Engg. Co. (CIE), Howrah  |  cieinstruments.in&amp;R&amp;8 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3" min="2" style="0" width="13"/>
    <col collapsed="false" customWidth="true" hidden="false" outlineLevel="0" max="6" min="4" style="0" width="14"/>
    <col collapsed="false" customWidth="true" hidden="false" outlineLevel="0" max="9" min="7" style="0" width="13"/>
  </cols>
  <sheetData>
    <row r="1" customFormat="false" ht="30" hidden="false" customHeight="true" outlineLevel="0" collapsed="false">
      <c r="A1" s="1" t="s">
        <v>0</v>
      </c>
      <c r="B1" s="1"/>
      <c r="C1" s="1"/>
      <c r="D1" s="1"/>
      <c r="E1" s="1"/>
      <c r="F1" s="1"/>
      <c r="G1" s="1"/>
      <c r="H1" s="1"/>
      <c r="I1" s="1"/>
    </row>
    <row r="2" customFormat="false" ht="25.5" hidden="false" customHeight="true" outlineLevel="0" collapsed="false">
      <c r="A2" s="2" t="s">
        <v>1</v>
      </c>
      <c r="B2" s="2"/>
      <c r="C2" s="2"/>
      <c r="D2" s="2"/>
      <c r="E2" s="2"/>
      <c r="F2" s="2"/>
      <c r="G2" s="2"/>
      <c r="H2" s="2"/>
      <c r="I2" s="2"/>
    </row>
    <row r="3" customFormat="false" ht="15" hidden="false" customHeight="false" outlineLevel="0" collapsed="false">
      <c r="A3" s="25" t="s">
        <v>79</v>
      </c>
      <c r="B3" s="25"/>
      <c r="C3" s="25"/>
      <c r="D3" s="25"/>
      <c r="E3" s="25"/>
      <c r="F3" s="25"/>
      <c r="G3" s="25"/>
      <c r="H3" s="25"/>
      <c r="I3" s="25"/>
    </row>
    <row r="5" customFormat="false" ht="18" hidden="false" customHeight="true" outlineLevel="0" collapsed="false">
      <c r="A5" s="4" t="s">
        <v>3</v>
      </c>
      <c r="B5" s="4"/>
      <c r="C5" s="4"/>
      <c r="D5" s="4"/>
      <c r="E5" s="4"/>
      <c r="F5" s="4"/>
      <c r="G5" s="4"/>
      <c r="H5" s="4"/>
      <c r="I5" s="4"/>
    </row>
    <row r="6" customFormat="false" ht="15" hidden="false" customHeight="true" outlineLevel="0" collapsed="false">
      <c r="A6" s="5" t="s">
        <v>4</v>
      </c>
      <c r="B6" s="6" t="s">
        <v>80</v>
      </c>
      <c r="C6" s="6"/>
      <c r="D6" s="6"/>
      <c r="E6" s="5" t="s">
        <v>5</v>
      </c>
      <c r="F6" s="5"/>
      <c r="G6" s="6" t="s">
        <v>81</v>
      </c>
      <c r="H6" s="6"/>
      <c r="I6" s="6"/>
    </row>
    <row r="7" customFormat="false" ht="15" hidden="false" customHeight="true" outlineLevel="0" collapsed="false">
      <c r="A7" s="5" t="s">
        <v>6</v>
      </c>
      <c r="B7" s="6" t="s">
        <v>82</v>
      </c>
      <c r="C7" s="6"/>
      <c r="D7" s="6"/>
      <c r="E7" s="5" t="s">
        <v>7</v>
      </c>
      <c r="F7" s="5"/>
      <c r="G7" s="6" t="s">
        <v>83</v>
      </c>
      <c r="H7" s="6"/>
      <c r="I7" s="6"/>
    </row>
    <row r="8" customFormat="false" ht="23.85" hidden="false" customHeight="true" outlineLevel="0" collapsed="false">
      <c r="A8" s="5" t="s">
        <v>8</v>
      </c>
      <c r="B8" s="6" t="s">
        <v>84</v>
      </c>
      <c r="C8" s="6"/>
      <c r="D8" s="6"/>
      <c r="E8" s="5" t="s">
        <v>9</v>
      </c>
      <c r="F8" s="5"/>
      <c r="G8" s="6" t="s">
        <v>85</v>
      </c>
      <c r="H8" s="6"/>
      <c r="I8" s="6"/>
    </row>
    <row r="9" customFormat="false" ht="15" hidden="false" customHeight="true" outlineLevel="0" collapsed="false">
      <c r="A9" s="5" t="s">
        <v>10</v>
      </c>
      <c r="B9" s="7" t="n">
        <v>46313</v>
      </c>
      <c r="C9" s="7"/>
      <c r="D9" s="7"/>
      <c r="E9" s="5" t="s">
        <v>11</v>
      </c>
      <c r="F9" s="5"/>
      <c r="G9" s="6" t="s">
        <v>86</v>
      </c>
      <c r="H9" s="6"/>
      <c r="I9" s="6"/>
    </row>
    <row r="10" customFormat="false" ht="15" hidden="false" customHeight="true" outlineLevel="0" collapsed="false">
      <c r="A10" s="5" t="s">
        <v>12</v>
      </c>
      <c r="B10" s="6" t="s">
        <v>87</v>
      </c>
      <c r="C10" s="6"/>
      <c r="D10" s="6"/>
      <c r="E10" s="5" t="s">
        <v>13</v>
      </c>
      <c r="F10" s="5"/>
      <c r="G10" s="6" t="s">
        <v>88</v>
      </c>
      <c r="H10" s="6"/>
      <c r="I10" s="6"/>
    </row>
    <row r="12" customFormat="false" ht="18" hidden="false" customHeight="true" outlineLevel="0" collapsed="false">
      <c r="A12" s="4" t="s">
        <v>14</v>
      </c>
      <c r="B12" s="4"/>
      <c r="C12" s="4"/>
      <c r="D12" s="4"/>
      <c r="E12" s="4"/>
      <c r="F12" s="4"/>
      <c r="G12" s="4"/>
      <c r="H12" s="4"/>
      <c r="I12" s="4"/>
    </row>
    <row r="13" customFormat="false" ht="15" hidden="false" customHeight="true" outlineLevel="0" collapsed="false">
      <c r="A13" s="5" t="s">
        <v>15</v>
      </c>
      <c r="B13" s="8" t="n">
        <v>200</v>
      </c>
      <c r="E13" s="5" t="s">
        <v>16</v>
      </c>
      <c r="F13" s="5"/>
      <c r="G13" s="8" t="n">
        <v>1</v>
      </c>
    </row>
    <row r="14" customFormat="false" ht="15" hidden="false" customHeight="true" outlineLevel="0" collapsed="false">
      <c r="A14" s="5" t="s">
        <v>17</v>
      </c>
      <c r="B14" s="6" t="s">
        <v>89</v>
      </c>
      <c r="C14" s="6"/>
      <c r="D14" s="6"/>
      <c r="E14" s="5" t="s">
        <v>18</v>
      </c>
      <c r="F14" s="5"/>
      <c r="G14" s="6" t="s">
        <v>90</v>
      </c>
      <c r="H14" s="6"/>
      <c r="I14" s="6"/>
    </row>
    <row r="15" customFormat="false" ht="15" hidden="false" customHeight="true" outlineLevel="0" collapsed="false">
      <c r="A15" s="5" t="s">
        <v>19</v>
      </c>
      <c r="B15" s="9" t="n">
        <v>200</v>
      </c>
      <c r="E15" s="5" t="s">
        <v>20</v>
      </c>
      <c r="F15" s="5"/>
      <c r="G15" s="9" t="n">
        <v>0.2</v>
      </c>
    </row>
    <row r="16" customFormat="false" ht="23.85" hidden="false" customHeight="true" outlineLevel="0" collapsed="false">
      <c r="A16" s="5" t="s">
        <v>21</v>
      </c>
      <c r="B16" s="9"/>
      <c r="E16" s="5" t="s">
        <v>22</v>
      </c>
      <c r="F16" s="5"/>
      <c r="G16" s="10" t="n">
        <v>1200</v>
      </c>
    </row>
    <row r="17" customFormat="false" ht="15" hidden="false" customHeight="false" outlineLevel="0" collapsed="false">
      <c r="A17" s="5" t="s">
        <v>23</v>
      </c>
      <c r="B17" s="9" t="n">
        <v>0.05</v>
      </c>
    </row>
    <row r="18" customFormat="false" ht="15" hidden="false" customHeight="true" outlineLevel="0" collapsed="false">
      <c r="A18" s="5" t="s">
        <v>24</v>
      </c>
      <c r="B18" s="11" t="n">
        <f aca="false">IF(AND(ISNUMBER(B15),ISNUMBER(B13),B13&gt;0),IFERROR(B15*G13/B13,""),"")</f>
        <v>1</v>
      </c>
      <c r="E18" s="5" t="s">
        <v>25</v>
      </c>
      <c r="F18" s="5"/>
      <c r="G18" s="12" t="n">
        <f aca="false">IF(B14="","",INDEX(Reference!$B$7:$B$11,MATCH(B14,Reference!$A$7:$A$11,0)))</f>
        <v>0.14</v>
      </c>
    </row>
    <row r="19" customFormat="false" ht="15" hidden="false" customHeight="true" outlineLevel="0" collapsed="false">
      <c r="A19" s="5" t="s">
        <v>26</v>
      </c>
      <c r="B19" s="11" t="n">
        <f aca="false">IF(AND(ISNUMBER(G16),ISNUMBER(B13),B13&gt;0),IFERROR(G16*G13/B13,""),"")</f>
        <v>6</v>
      </c>
      <c r="E19" s="5" t="s">
        <v>27</v>
      </c>
      <c r="F19" s="5"/>
      <c r="G19" s="12" t="n">
        <f aca="false">IF(B14="","",INDEX(Reference!$C$7:$C$11,MATCH(B14,Reference!$A$7:$A$11,0)))</f>
        <v>0.02</v>
      </c>
    </row>
    <row r="21" customFormat="false" ht="18" hidden="false" customHeight="true" outlineLevel="0" collapsed="false">
      <c r="A21" s="4" t="s">
        <v>28</v>
      </c>
      <c r="B21" s="4"/>
      <c r="C21" s="4"/>
      <c r="D21" s="4"/>
      <c r="E21" s="4"/>
      <c r="F21" s="4"/>
      <c r="G21" s="4"/>
      <c r="H21" s="4"/>
      <c r="I21" s="4"/>
    </row>
    <row r="22" customFormat="false" ht="23.85" hidden="false" customHeight="true" outlineLevel="0" collapsed="false">
      <c r="A22" s="5" t="s">
        <v>29</v>
      </c>
      <c r="B22" s="10" t="n">
        <v>5</v>
      </c>
      <c r="E22" s="5" t="s">
        <v>30</v>
      </c>
      <c r="F22" s="5"/>
      <c r="G22" s="10" t="n">
        <v>5</v>
      </c>
    </row>
    <row r="23" customFormat="false" ht="15" hidden="false" customHeight="true" outlineLevel="0" collapsed="false">
      <c r="A23" s="5" t="s">
        <v>31</v>
      </c>
      <c r="B23" s="8" t="n">
        <v>30</v>
      </c>
      <c r="E23" s="5" t="s">
        <v>32</v>
      </c>
      <c r="F23" s="5"/>
      <c r="G23" s="13" t="n">
        <v>0.95</v>
      </c>
    </row>
    <row r="24" customFormat="false" ht="15" hidden="false" customHeight="true" outlineLevel="0" collapsed="false">
      <c r="A24" s="5" t="s">
        <v>33</v>
      </c>
      <c r="B24" s="10" t="n">
        <v>5</v>
      </c>
      <c r="E24" s="5" t="s">
        <v>34</v>
      </c>
      <c r="F24" s="5"/>
      <c r="G24" s="14" t="n">
        <v>0.03</v>
      </c>
    </row>
    <row r="25" customFormat="false" ht="25.5" hidden="false" customHeight="true" outlineLevel="0" collapsed="false">
      <c r="A25" s="15" t="s">
        <v>35</v>
      </c>
      <c r="B25" s="15"/>
      <c r="C25" s="15"/>
      <c r="D25" s="15"/>
      <c r="E25" s="15"/>
      <c r="F25" s="15"/>
      <c r="G25" s="15"/>
      <c r="H25" s="15"/>
      <c r="I25" s="15"/>
    </row>
    <row r="27" customFormat="false" ht="18" hidden="false" customHeight="true" outlineLevel="0" collapsed="false">
      <c r="A27" s="4" t="s">
        <v>36</v>
      </c>
      <c r="B27" s="4"/>
      <c r="C27" s="4"/>
      <c r="D27" s="4"/>
      <c r="E27" s="4"/>
      <c r="F27" s="4"/>
      <c r="G27" s="4"/>
      <c r="H27" s="4"/>
      <c r="I27" s="4"/>
    </row>
    <row r="28" customFormat="false" ht="30" hidden="false" customHeight="true" outlineLevel="0" collapsed="false">
      <c r="A28" s="16" t="s">
        <v>37</v>
      </c>
      <c r="B28" s="16" t="s">
        <v>38</v>
      </c>
      <c r="C28" s="16" t="s">
        <v>39</v>
      </c>
      <c r="D28" s="16" t="s">
        <v>40</v>
      </c>
      <c r="E28" s="16" t="s">
        <v>41</v>
      </c>
    </row>
    <row r="29" customFormat="false" ht="23.85" hidden="false" customHeight="false" outlineLevel="0" collapsed="false">
      <c r="A29" s="5" t="s">
        <v>42</v>
      </c>
      <c r="B29" s="11" t="n">
        <f aca="false">B18</f>
        <v>1</v>
      </c>
      <c r="C29" s="14" t="n">
        <v>1.02</v>
      </c>
      <c r="D29" s="17" t="n">
        <f aca="false">IF(AND(ISNUMBER(C29),ISNUMBER(B29),B29&gt;0),C29/B29-1,"")</f>
        <v>0.02</v>
      </c>
      <c r="E29" s="18" t="str">
        <f aca="false">IF(D29="","",IF(NOT(ISNUMBER(B22)),"Enter tolerance",IF(ABS(D29)&lt;=B22/100,"PASS","FAIL")))</f>
        <v>PASS</v>
      </c>
    </row>
    <row r="30" customFormat="false" ht="15" hidden="false" customHeight="false" outlineLevel="0" collapsed="false">
      <c r="A30" s="5" t="s">
        <v>43</v>
      </c>
      <c r="B30" s="18" t="s">
        <v>44</v>
      </c>
      <c r="C30" s="14" t="n">
        <v>0.97</v>
      </c>
      <c r="D30" s="11" t="n">
        <f aca="false">IF(AND(ISNUMBER(C30),ISNUMBER(C29),C29&gt;0),C30/C29,"")</f>
        <v>0.950980392156863</v>
      </c>
      <c r="E30" s="18" t="str">
        <f aca="false">IF(D30="","",IF(NOT(ISNUMBER(G23)),"Enter tolerance",IF(D30&gt;=G23,"PASS","FAIL")))</f>
        <v>PASS</v>
      </c>
    </row>
    <row r="32" customFormat="false" ht="18" hidden="false" customHeight="true" outlineLevel="0" collapsed="false">
      <c r="A32" s="4" t="s">
        <v>45</v>
      </c>
      <c r="B32" s="4"/>
      <c r="C32" s="4"/>
      <c r="D32" s="4"/>
      <c r="E32" s="4"/>
      <c r="F32" s="4"/>
      <c r="G32" s="4"/>
      <c r="H32" s="4"/>
      <c r="I32" s="4"/>
    </row>
    <row r="33" customFormat="false" ht="30" hidden="false" customHeight="true" outlineLevel="0" collapsed="false">
      <c r="A33" s="16" t="s">
        <v>46</v>
      </c>
      <c r="B33" s="16" t="s">
        <v>47</v>
      </c>
      <c r="C33" s="16" t="s">
        <v>48</v>
      </c>
      <c r="D33" s="16" t="s">
        <v>49</v>
      </c>
      <c r="E33" s="16" t="s">
        <v>50</v>
      </c>
      <c r="F33" s="16" t="s">
        <v>51</v>
      </c>
      <c r="G33" s="16" t="s">
        <v>41</v>
      </c>
    </row>
    <row r="34" customFormat="false" ht="15" hidden="false" customHeight="false" outlineLevel="0" collapsed="false">
      <c r="A34" s="10" t="n">
        <v>2</v>
      </c>
      <c r="B34" s="11" t="n">
        <f aca="false">IF(AND(ISNUMBER(A34),ISNUMBER($B$18)),A34*$B$18,"")</f>
        <v>2</v>
      </c>
      <c r="C34" s="11" t="n">
        <f aca="false">IF(NOT(ISNUMBER(A34)),"",IF($B$14="Definite time",IF(ISNUMBER($B$16),$B$16,""),IF(AND(ISNUMBER($G$18),ISNUMBER($G$19),ISNUMBER($G$15),A34&gt;1),$G$15*$G$18/(A34^$G$19-1),"")))</f>
        <v>2.00580540400937</v>
      </c>
      <c r="D34" s="14" t="n">
        <v>2.03</v>
      </c>
      <c r="E34" s="17" t="n">
        <f aca="false">IF(AND(ISNUMBER(C34),ISNUMBER(D34),C34&gt;0),D34/C34-1,"")</f>
        <v>0.012062284777109</v>
      </c>
      <c r="F34" s="11" t="n">
        <f aca="false">IF(C34="","",IF(AND(NOT(ISNUMBER($G$22)),NOT(ISNUMBER($B$23))),"",MAX(IF(ISNUMBER($G$22),$G$22/100*C34,0),IF(ISNUMBER($B$23),$B$23/1000,0))))</f>
        <v>0.100290270200469</v>
      </c>
      <c r="G34" s="18" t="str">
        <f aca="false">IF(OR(C34="",D34=""),"",IF(F34="","Enter tolerance",IF(ABS(D34-C34)&lt;=F34,"PASS","FAIL")))</f>
        <v>PASS</v>
      </c>
    </row>
    <row r="35" customFormat="false" ht="15" hidden="false" customHeight="false" outlineLevel="0" collapsed="false">
      <c r="A35" s="10" t="n">
        <v>3</v>
      </c>
      <c r="B35" s="11" t="n">
        <f aca="false">IF(AND(ISNUMBER(A35),ISNUMBER($B$18)),A35*$B$18,"")</f>
        <v>3</v>
      </c>
      <c r="C35" s="11" t="n">
        <f aca="false">IF(NOT(ISNUMBER(A35)),"",IF($B$14="Definite time",IF(ISNUMBER($B$16),$B$16,""),IF(AND(ISNUMBER($G$18),ISNUMBER($G$19),ISNUMBER($G$15),A35&gt;1),$G$15*$G$18/(A35^$G$19-1),"")))</f>
        <v>1.26038618543852</v>
      </c>
      <c r="D35" s="14" t="n">
        <v>1.27</v>
      </c>
      <c r="E35" s="17" t="n">
        <f aca="false">IF(AND(ISNUMBER(C35),ISNUMBER(D35),C35&gt;0),D35/C35-1,"")</f>
        <v>0.00762767370235373</v>
      </c>
      <c r="F35" s="11" t="n">
        <f aca="false">IF(C35="","",IF(AND(NOT(ISNUMBER($G$22)),NOT(ISNUMBER($B$23))),"",MAX(IF(ISNUMBER($G$22),$G$22/100*C35,0),IF(ISNUMBER($B$23),$B$23/1000,0))))</f>
        <v>0.0630193092719261</v>
      </c>
      <c r="G35" s="18" t="str">
        <f aca="false">IF(OR(C35="",D35=""),"",IF(F35="","Enter tolerance",IF(ABS(D35-C35)&lt;=F35,"PASS","FAIL")))</f>
        <v>PASS</v>
      </c>
    </row>
    <row r="36" customFormat="false" ht="15" hidden="false" customHeight="false" outlineLevel="0" collapsed="false">
      <c r="A36" s="10" t="n">
        <v>5</v>
      </c>
      <c r="B36" s="11" t="n">
        <f aca="false">IF(AND(ISNUMBER(A36),ISNUMBER($B$18)),A36*$B$18,"")</f>
        <v>5</v>
      </c>
      <c r="C36" s="11" t="n">
        <f aca="false">IF(NOT(ISNUMBER(A36)),"",IF($B$14="Definite time",IF(ISNUMBER($B$16),$B$16,""),IF(AND(ISNUMBER($G$18),ISNUMBER($G$19),ISNUMBER($G$15),A36&gt;1),$G$15*$G$18/(A36^$G$19-1),"")))</f>
        <v>0.855944014189075</v>
      </c>
      <c r="D36" s="14" t="n">
        <v>0.86</v>
      </c>
      <c r="E36" s="17" t="n">
        <f aca="false">IF(AND(ISNUMBER(C36),ISNUMBER(D36),C36&gt;0),D36/C36-1,"")</f>
        <v>0.0047386111050356</v>
      </c>
      <c r="F36" s="11" t="n">
        <f aca="false">IF(C36="","",IF(AND(NOT(ISNUMBER($G$22)),NOT(ISNUMBER($B$23))),"",MAX(IF(ISNUMBER($G$22),$G$22/100*C36,0),IF(ISNUMBER($B$23),$B$23/1000,0))))</f>
        <v>0.0427972007094538</v>
      </c>
      <c r="G36" s="18" t="str">
        <f aca="false">IF(OR(C36="",D36=""),"",IF(F36="","Enter tolerance",IF(ABS(D36-C36)&lt;=F36,"PASS","FAIL")))</f>
        <v>PASS</v>
      </c>
    </row>
    <row r="37" customFormat="false" ht="15" hidden="false" customHeight="false" outlineLevel="0" collapsed="false">
      <c r="A37" s="10" t="n">
        <v>10</v>
      </c>
      <c r="B37" s="11" t="n">
        <f aca="false">IF(AND(ISNUMBER(A37),ISNUMBER($B$18)),A37*$B$18,"")</f>
        <v>10</v>
      </c>
      <c r="C37" s="11" t="n">
        <f aca="false">IF(NOT(ISNUMBER(A37)),"",IF($B$14="Definite time",IF(ISNUMBER($B$16),$B$16,""),IF(AND(ISNUMBER($G$18),ISNUMBER($G$19),ISNUMBER($G$15),A37&gt;1),$G$15*$G$18/(A37^$G$19-1),"")))</f>
        <v>0.594119724837683</v>
      </c>
      <c r="D37" s="14" t="n">
        <v>0.6</v>
      </c>
      <c r="E37" s="17" t="n">
        <f aca="false">IF(AND(ISNUMBER(C37),ISNUMBER(D37),C37&gt;0),D37/C37-1,"")</f>
        <v>0.00989745823356292</v>
      </c>
      <c r="F37" s="11" t="n">
        <f aca="false">IF(C37="","",IF(AND(NOT(ISNUMBER($G$22)),NOT(ISNUMBER($B$23))),"",MAX(IF(ISNUMBER($G$22),$G$22/100*C37,0),IF(ISNUMBER($B$23),$B$23/1000,0))))</f>
        <v>0.03</v>
      </c>
      <c r="G37" s="18" t="str">
        <f aca="false">IF(OR(C37="",D37=""),"",IF(F37="","Enter tolerance",IF(ABS(D37-C37)&lt;=F37,"PASS","FAIL")))</f>
        <v>PASS</v>
      </c>
    </row>
    <row r="38" customFormat="false" ht="15" hidden="false" customHeight="false" outlineLevel="0" collapsed="false">
      <c r="A38" s="10" t="n">
        <v>20</v>
      </c>
      <c r="B38" s="11" t="n">
        <f aca="false">IF(AND(ISNUMBER(A38),ISNUMBER($B$18)),A38*$B$18,"")</f>
        <v>20</v>
      </c>
      <c r="C38" s="11" t="n">
        <f aca="false">IF(NOT(ISNUMBER(A38)),"",IF($B$14="Definite time",IF(ISNUMBER($B$16),$B$16,""),IF(AND(ISNUMBER($G$18),ISNUMBER($G$19),ISNUMBER($G$15),A38&gt;1),$G$15*$G$18/(A38^$G$19-1),"")))</f>
        <v>0.453471273449413</v>
      </c>
      <c r="D38" s="14" t="n">
        <v>0.46</v>
      </c>
      <c r="E38" s="17" t="n">
        <f aca="false">IF(AND(ISNUMBER(C38),ISNUMBER(D38),C38&gt;0),D38/C38-1,"")</f>
        <v>0.0143972219032202</v>
      </c>
      <c r="F38" s="11" t="n">
        <f aca="false">IF(C38="","",IF(AND(NOT(ISNUMBER($G$22)),NOT(ISNUMBER($B$23))),"",MAX(IF(ISNUMBER($G$22),$G$22/100*C38,0),IF(ISNUMBER($B$23),$B$23/1000,0))))</f>
        <v>0.03</v>
      </c>
      <c r="G38" s="18" t="str">
        <f aca="false">IF(OR(C38="",D38=""),"",IF(F38="","Enter tolerance",IF(ABS(D38-C38)&lt;=F38,"PASS","FAIL")))</f>
        <v>PASS</v>
      </c>
    </row>
    <row r="39" customFormat="false" ht="15" hidden="false" customHeight="false" outlineLevel="0" collapsed="false">
      <c r="A39" s="10"/>
      <c r="B39" s="11" t="str">
        <f aca="false">IF(AND(ISNUMBER(A39),ISNUMBER($B$18)),A39*$B$18,"")</f>
        <v/>
      </c>
      <c r="C39" s="11" t="str">
        <f aca="false">IF(NOT(ISNUMBER(A39)),"",IF($B$14="Definite time",IF(ISNUMBER($B$16),$B$16,""),IF(AND(ISNUMBER($G$18),ISNUMBER($G$19),ISNUMBER($G$15),A39&gt;1),$G$15*$G$18/(A39^$G$19-1),"")))</f>
        <v/>
      </c>
      <c r="D39" s="14"/>
      <c r="E39" s="17" t="str">
        <f aca="false">IF(AND(ISNUMBER(C39),ISNUMBER(D39),C39&gt;0),D39/C39-1,"")</f>
        <v/>
      </c>
      <c r="F39" s="11" t="str">
        <f aca="false">IF(C39="","",IF(AND(NOT(ISNUMBER($G$22)),NOT(ISNUMBER($B$23))),"",MAX(IF(ISNUMBER($G$22),$G$22/100*C39,0),IF(ISNUMBER($B$23),$B$23/1000,0))))</f>
        <v/>
      </c>
      <c r="G39" s="18" t="str">
        <f aca="false">IF(OR(C39="",D39=""),"",IF(F39="","Enter tolerance",IF(ABS(D39-C39)&lt;=F39,"PASS","FAIL")))</f>
        <v/>
      </c>
    </row>
    <row r="40" customFormat="false" ht="27.75" hidden="false" customHeight="true" outlineLevel="0" collapsed="false">
      <c r="A40" s="15" t="s">
        <v>52</v>
      </c>
      <c r="B40" s="15"/>
      <c r="C40" s="15"/>
      <c r="D40" s="15"/>
      <c r="E40" s="15"/>
      <c r="F40" s="15"/>
      <c r="G40" s="15"/>
      <c r="H40" s="15"/>
      <c r="I40" s="15"/>
    </row>
    <row r="42" customFormat="false" ht="18" hidden="false" customHeight="true" outlineLevel="0" collapsed="false">
      <c r="A42" s="4" t="s">
        <v>53</v>
      </c>
      <c r="B42" s="4"/>
      <c r="C42" s="4"/>
      <c r="D42" s="4"/>
      <c r="E42" s="4"/>
      <c r="F42" s="4"/>
      <c r="G42" s="4"/>
      <c r="H42" s="4"/>
      <c r="I42" s="4"/>
    </row>
    <row r="43" customFormat="false" ht="15" hidden="false" customHeight="false" outlineLevel="0" collapsed="false">
      <c r="A43" s="16" t="s">
        <v>37</v>
      </c>
      <c r="B43" s="16" t="s">
        <v>54</v>
      </c>
      <c r="C43" s="16" t="s">
        <v>55</v>
      </c>
      <c r="D43" s="16" t="s">
        <v>56</v>
      </c>
      <c r="E43" s="16" t="s">
        <v>41</v>
      </c>
    </row>
    <row r="44" customFormat="false" ht="15" hidden="false" customHeight="false" outlineLevel="0" collapsed="false">
      <c r="A44" s="5" t="s">
        <v>57</v>
      </c>
      <c r="B44" s="11" t="n">
        <f aca="false">B19</f>
        <v>6</v>
      </c>
      <c r="C44" s="14" t="n">
        <v>6.1</v>
      </c>
      <c r="D44" s="17" t="n">
        <f aca="false">IF(AND(ISNUMBER(C44),ISNUMBER(B44),B44&gt;0),C44/B44-1,"")</f>
        <v>0.0166666666666666</v>
      </c>
      <c r="E44" s="18" t="str">
        <f aca="false">IF(D44="","",IF(NOT(ISNUMBER(B24)),"Enter tolerance",IF(ABS(D44)&lt;=B24/100,"PASS","FAIL")))</f>
        <v>PASS</v>
      </c>
    </row>
    <row r="45" customFormat="false" ht="23.85" hidden="false" customHeight="false" outlineLevel="0" collapsed="false">
      <c r="A45" s="5" t="s">
        <v>58</v>
      </c>
      <c r="B45" s="11" t="n">
        <f aca="false">IF(ISNUMBER(B17),B17,"")</f>
        <v>0.05</v>
      </c>
      <c r="C45" s="14" t="n">
        <v>0.055</v>
      </c>
      <c r="D45" s="19" t="n">
        <f aca="false">IF(AND(ISNUMBER(C45),ISNUMBER(B45)),C45-B45,"")</f>
        <v>0.005</v>
      </c>
      <c r="E45" s="18" t="str">
        <f aca="false">IF(D45="","",IF(NOT(ISNUMBER(G24)),"Enter tolerance",IF(ABS(D45)&lt;=G24,"PASS","FAIL")))</f>
        <v>PASS</v>
      </c>
    </row>
    <row r="47" customFormat="false" ht="18" hidden="false" customHeight="true" outlineLevel="0" collapsed="false">
      <c r="A47" s="4" t="s">
        <v>59</v>
      </c>
      <c r="B47" s="4"/>
      <c r="C47" s="4"/>
      <c r="D47" s="4"/>
      <c r="E47" s="4"/>
      <c r="F47" s="4"/>
      <c r="G47" s="4"/>
      <c r="H47" s="4"/>
      <c r="I47" s="4"/>
    </row>
    <row r="48" customFormat="false" ht="15" hidden="false" customHeight="true" outlineLevel="0" collapsed="false">
      <c r="A48" s="16" t="s">
        <v>60</v>
      </c>
      <c r="B48" s="16" t="s">
        <v>61</v>
      </c>
      <c r="C48" s="20" t="s">
        <v>62</v>
      </c>
      <c r="D48" s="20"/>
      <c r="E48" s="20"/>
      <c r="F48" s="20"/>
      <c r="G48" s="20"/>
      <c r="H48" s="20"/>
      <c r="I48" s="20"/>
    </row>
    <row r="49" customFormat="false" ht="24" hidden="false" customHeight="true" outlineLevel="0" collapsed="false">
      <c r="A49" s="5" t="s">
        <v>63</v>
      </c>
      <c r="B49" s="21" t="s">
        <v>91</v>
      </c>
      <c r="C49" s="6"/>
      <c r="D49" s="6"/>
      <c r="E49" s="6"/>
      <c r="F49" s="6"/>
      <c r="G49" s="6"/>
      <c r="H49" s="6"/>
      <c r="I49" s="6"/>
    </row>
    <row r="50" customFormat="false" ht="24" hidden="false" customHeight="true" outlineLevel="0" collapsed="false">
      <c r="A50" s="5" t="s">
        <v>64</v>
      </c>
      <c r="B50" s="21" t="s">
        <v>91</v>
      </c>
      <c r="C50" s="6"/>
      <c r="D50" s="6"/>
      <c r="E50" s="6"/>
      <c r="F50" s="6"/>
      <c r="G50" s="6"/>
      <c r="H50" s="6"/>
      <c r="I50" s="6"/>
    </row>
    <row r="51" customFormat="false" ht="24" hidden="false" customHeight="true" outlineLevel="0" collapsed="false">
      <c r="A51" s="5" t="s">
        <v>65</v>
      </c>
      <c r="B51" s="21" t="s">
        <v>91</v>
      </c>
      <c r="C51" s="6"/>
      <c r="D51" s="6"/>
      <c r="E51" s="6"/>
      <c r="F51" s="6"/>
      <c r="G51" s="6"/>
      <c r="H51" s="6"/>
      <c r="I51" s="6"/>
    </row>
    <row r="52" customFormat="false" ht="24" hidden="false" customHeight="true" outlineLevel="0" collapsed="false">
      <c r="A52" s="5" t="s">
        <v>66</v>
      </c>
      <c r="B52" s="21" t="s">
        <v>91</v>
      </c>
      <c r="C52" s="6"/>
      <c r="D52" s="6"/>
      <c r="E52" s="6"/>
      <c r="F52" s="6"/>
      <c r="G52" s="6"/>
      <c r="H52" s="6"/>
      <c r="I52" s="6"/>
    </row>
    <row r="53" customFormat="false" ht="24" hidden="false" customHeight="true" outlineLevel="0" collapsed="false">
      <c r="A53" s="5" t="s">
        <v>67</v>
      </c>
      <c r="B53" s="21" t="s">
        <v>91</v>
      </c>
      <c r="C53" s="6"/>
      <c r="D53" s="6"/>
      <c r="E53" s="6"/>
      <c r="F53" s="6"/>
      <c r="G53" s="6"/>
      <c r="H53" s="6"/>
      <c r="I53" s="6"/>
    </row>
    <row r="54" customFormat="false" ht="24" hidden="false" customHeight="true" outlineLevel="0" collapsed="false">
      <c r="A54" s="5" t="s">
        <v>68</v>
      </c>
      <c r="B54" s="21" t="s">
        <v>91</v>
      </c>
      <c r="C54" s="6"/>
      <c r="D54" s="6"/>
      <c r="E54" s="6"/>
      <c r="F54" s="6"/>
      <c r="G54" s="6"/>
      <c r="H54" s="6"/>
      <c r="I54" s="6"/>
    </row>
    <row r="55" customFormat="false" ht="24" hidden="false" customHeight="true" outlineLevel="0" collapsed="false">
      <c r="A55" s="5" t="s">
        <v>69</v>
      </c>
      <c r="B55" s="21" t="s">
        <v>92</v>
      </c>
      <c r="C55" s="6"/>
      <c r="D55" s="6"/>
      <c r="E55" s="6"/>
      <c r="F55" s="6"/>
      <c r="G55" s="6"/>
      <c r="H55" s="6"/>
      <c r="I55" s="6"/>
    </row>
    <row r="56" customFormat="false" ht="24" hidden="false" customHeight="true" outlineLevel="0" collapsed="false">
      <c r="A56" s="5" t="s">
        <v>70</v>
      </c>
      <c r="B56" s="21" t="s">
        <v>91</v>
      </c>
      <c r="C56" s="6"/>
      <c r="D56" s="6"/>
      <c r="E56" s="6"/>
      <c r="F56" s="6"/>
      <c r="G56" s="6"/>
      <c r="H56" s="6"/>
      <c r="I56" s="6"/>
    </row>
    <row r="58" customFormat="false" ht="18" hidden="false" customHeight="true" outlineLevel="0" collapsed="false">
      <c r="A58" s="4" t="s">
        <v>71</v>
      </c>
      <c r="B58" s="4"/>
      <c r="C58" s="4"/>
      <c r="D58" s="4"/>
      <c r="E58" s="4"/>
      <c r="F58" s="4"/>
      <c r="G58" s="4"/>
      <c r="H58" s="4"/>
      <c r="I58" s="4"/>
    </row>
    <row r="59" customFormat="false" ht="15" hidden="false" customHeight="false" outlineLevel="0" collapsed="false">
      <c r="A59" s="5" t="s">
        <v>72</v>
      </c>
      <c r="B59" s="22" t="n">
        <f aca="false">COUNTIF(E29:E30,"PASS")+COUNTIF(G34:G39,"PASS")+COUNTIF(E44:E45,"PASS")</f>
        <v>9</v>
      </c>
    </row>
    <row r="60" customFormat="false" ht="15" hidden="false" customHeight="false" outlineLevel="0" collapsed="false">
      <c r="A60" s="5" t="s">
        <v>73</v>
      </c>
      <c r="B60" s="22" t="n">
        <f aca="false">COUNTIF(E29:E30,"FAIL")+COUNTIF(G34:G39,"FAIL")+COUNTIF(E44:E45,"FAIL")+COUNTIF(B49:B56,"Not OK")</f>
        <v>0</v>
      </c>
    </row>
    <row r="61" customFormat="false" ht="15" hidden="false" customHeight="false" outlineLevel="0" collapsed="false">
      <c r="A61" s="5" t="s">
        <v>74</v>
      </c>
      <c r="B61" s="22" t="n">
        <f aca="false">COUNTIF(E29:E30,"Enter tolerance")+COUNTIF(G34:G39,"Enter tolerance")+COUNTIF(E44:E45,"Enter tolerance")</f>
        <v>0</v>
      </c>
    </row>
    <row r="62" customFormat="false" ht="15" hidden="false" customHeight="false" outlineLevel="0" collapsed="false">
      <c r="A62" s="5" t="s">
        <v>75</v>
      </c>
      <c r="B62" s="23" t="str">
        <f aca="false">IF(B59+B60+B61=0,"",IF(B60&gt;0,"FAIL - "&amp;B60&amp;" item(s) outside tolerance or marked Not OK",IF(B61&gt;0,"INCOMPLETE - enter the missing tolerances","PASS - all "&amp;B59&amp;" tests within tolerance")))</f>
        <v>PASS - all 9 tests within tolerance</v>
      </c>
      <c r="C62" s="23"/>
      <c r="D62" s="23"/>
      <c r="E62" s="23"/>
      <c r="F62" s="23"/>
      <c r="G62" s="23"/>
      <c r="H62" s="23"/>
      <c r="I62" s="23"/>
    </row>
    <row r="63" customFormat="false" ht="15" hidden="false" customHeight="true" outlineLevel="0" collapsed="false">
      <c r="A63" s="5" t="s">
        <v>76</v>
      </c>
      <c r="B63" s="24" t="s">
        <v>93</v>
      </c>
      <c r="C63" s="24"/>
      <c r="D63" s="24"/>
      <c r="E63" s="24"/>
      <c r="F63" s="24"/>
      <c r="G63" s="24"/>
      <c r="H63" s="24"/>
      <c r="I63" s="24"/>
    </row>
    <row r="64" customFormat="false" ht="15" hidden="false" customHeight="false" outlineLevel="0" collapsed="false">
      <c r="B64" s="24"/>
      <c r="C64" s="24"/>
      <c r="D64" s="24"/>
      <c r="E64" s="24"/>
      <c r="F64" s="24"/>
      <c r="G64" s="24"/>
      <c r="H64" s="24"/>
      <c r="I64" s="24"/>
    </row>
    <row r="65" customFormat="false" ht="15" hidden="false" customHeight="false" outlineLevel="0" collapsed="false">
      <c r="B65" s="24"/>
      <c r="C65" s="24"/>
      <c r="D65" s="24"/>
      <c r="E65" s="24"/>
      <c r="F65" s="24"/>
      <c r="G65" s="24"/>
      <c r="H65" s="24"/>
      <c r="I65" s="24"/>
    </row>
    <row r="66" customFormat="false" ht="27.75" hidden="false" customHeight="true" outlineLevel="0" collapsed="false">
      <c r="A66" s="5" t="s">
        <v>77</v>
      </c>
      <c r="B66" s="6"/>
      <c r="C66" s="6"/>
      <c r="D66" s="6"/>
      <c r="E66" s="5" t="s">
        <v>78</v>
      </c>
      <c r="F66" s="5"/>
      <c r="G66" s="6"/>
      <c r="H66" s="6"/>
      <c r="I66" s="6"/>
    </row>
  </sheetData>
  <sheetProtection sheet="true" formatColumns="false" formatRows="false"/>
  <mergeCells count="53">
    <mergeCell ref="A1:I1"/>
    <mergeCell ref="A2:I2"/>
    <mergeCell ref="A3:I3"/>
    <mergeCell ref="A5:I5"/>
    <mergeCell ref="B6:D6"/>
    <mergeCell ref="E6:F6"/>
    <mergeCell ref="G6:I6"/>
    <mergeCell ref="B7:D7"/>
    <mergeCell ref="E7:F7"/>
    <mergeCell ref="G7:I7"/>
    <mergeCell ref="B8:D8"/>
    <mergeCell ref="E8:F8"/>
    <mergeCell ref="G8:I8"/>
    <mergeCell ref="B9:D9"/>
    <mergeCell ref="E9:F9"/>
    <mergeCell ref="G9:I9"/>
    <mergeCell ref="B10:D10"/>
    <mergeCell ref="E10:F10"/>
    <mergeCell ref="G10:I10"/>
    <mergeCell ref="A12:I12"/>
    <mergeCell ref="E13:F13"/>
    <mergeCell ref="B14:D14"/>
    <mergeCell ref="E14:F14"/>
    <mergeCell ref="G14:I14"/>
    <mergeCell ref="E15:F15"/>
    <mergeCell ref="E16:F16"/>
    <mergeCell ref="E18:F18"/>
    <mergeCell ref="E19:F19"/>
    <mergeCell ref="A21:I21"/>
    <mergeCell ref="E22:F22"/>
    <mergeCell ref="E23:F23"/>
    <mergeCell ref="E24:F24"/>
    <mergeCell ref="A25:I25"/>
    <mergeCell ref="A27:I27"/>
    <mergeCell ref="A32:I32"/>
    <mergeCell ref="A40:I40"/>
    <mergeCell ref="A42:I42"/>
    <mergeCell ref="A47:I47"/>
    <mergeCell ref="C48:I48"/>
    <mergeCell ref="C49:I49"/>
    <mergeCell ref="C50:I50"/>
    <mergeCell ref="C51:I51"/>
    <mergeCell ref="C52:I52"/>
    <mergeCell ref="C53:I53"/>
    <mergeCell ref="C54:I54"/>
    <mergeCell ref="C55:I55"/>
    <mergeCell ref="C56:I56"/>
    <mergeCell ref="A58:I58"/>
    <mergeCell ref="B62:I62"/>
    <mergeCell ref="B63:I65"/>
    <mergeCell ref="B66:D66"/>
    <mergeCell ref="E66:F66"/>
    <mergeCell ref="G66:I66"/>
  </mergeCells>
  <conditionalFormatting sqref="B49:B56">
    <cfRule type="expression" priority="2" aboveAverage="0" equalAverage="0" bottom="0" percent="0" rank="0" text="" dxfId="0">
      <formula>OR(ISNUMBER(SEARCH("BELOW",B49)),ISNUMBER(SEARCH("Dangerous",B49)),ISNUMBER(SEARCH("Outside",B49)),ISNUMBER(SEARCH("FAIL",B49)),ISNUMBER(SEARCH("Not OK",B49)),ISNUMBER(SEARCH("Invalid",B49)),ISNUMBER(SEARCH("Not valid",B49)))</formula>
    </cfRule>
    <cfRule type="expression" priority="3" aboveAverage="0" equalAverage="0" bottom="0" percent="0" rank="0" text="" dxfId="1">
      <formula>OR(ISNUMBER(SEARCH("REVIEW",B49)),ISNUMBER(SEARCH("INCOMPLETE",B49)),ISNUMBER(SEARCH("Questionable",B49)),ISNUMBER(SEARCH("Poor",B49)),ISNUMBER(SEARCH("Check",B49)))</formula>
    </cfRule>
    <cfRule type="expression" priority="4" aboveAverage="0" equalAverage="0" bottom="0" percent="0" rank="0" text="" dxfId="2">
      <formula>OR(ISNUMBER(SEARCH("PASS",B49)),ISNUMBER(SEARCH("Meets",B49)),ISNUMBER(SEARCH("Good",B49)),ISNUMBER(SEARCH("Excellent",B49)),ISNUMBER(SEARCH("Acceptable",B49)),ISNUMBER(SEARCH("Within",B49)),ISNUMBER(SEARCH("Valid",B49)),ISNUMBER(SEARCH("OK",B49)))</formula>
    </cfRule>
  </conditionalFormatting>
  <conditionalFormatting sqref="E29:E30">
    <cfRule type="expression" priority="5" aboveAverage="0" equalAverage="0" bottom="0" percent="0" rank="0" text="" dxfId="0">
      <formula>OR(ISNUMBER(SEARCH("BELOW",E29)),ISNUMBER(SEARCH("Dangerous",E29)),ISNUMBER(SEARCH("Outside",E29)),ISNUMBER(SEARCH("FAIL",E29)),ISNUMBER(SEARCH("Not OK",E29)),ISNUMBER(SEARCH("Invalid",E29)),ISNUMBER(SEARCH("Not valid",E29)))</formula>
    </cfRule>
    <cfRule type="expression" priority="6" aboveAverage="0" equalAverage="0" bottom="0" percent="0" rank="0" text="" dxfId="1">
      <formula>OR(ISNUMBER(SEARCH("REVIEW",E29)),ISNUMBER(SEARCH("INCOMPLETE",E29)),ISNUMBER(SEARCH("Questionable",E29)),ISNUMBER(SEARCH("Poor",E29)),ISNUMBER(SEARCH("Check",E29)))</formula>
    </cfRule>
    <cfRule type="expression" priority="7" aboveAverage="0" equalAverage="0" bottom="0" percent="0" rank="0" text="" dxfId="2">
      <formula>OR(ISNUMBER(SEARCH("PASS",E29)),ISNUMBER(SEARCH("Meets",E29)),ISNUMBER(SEARCH("Good",E29)),ISNUMBER(SEARCH("Excellent",E29)),ISNUMBER(SEARCH("Acceptable",E29)),ISNUMBER(SEARCH("Within",E29)),ISNUMBER(SEARCH("Valid",E29)),ISNUMBER(SEARCH("OK",E29)))</formula>
    </cfRule>
  </conditionalFormatting>
  <conditionalFormatting sqref="G34:G39">
    <cfRule type="expression" priority="8" aboveAverage="0" equalAverage="0" bottom="0" percent="0" rank="0" text="" dxfId="0">
      <formula>OR(ISNUMBER(SEARCH("BELOW",G34)),ISNUMBER(SEARCH("Dangerous",G34)),ISNUMBER(SEARCH("Outside",G34)),ISNUMBER(SEARCH("FAIL",G34)),ISNUMBER(SEARCH("Not OK",G34)),ISNUMBER(SEARCH("Invalid",G34)),ISNUMBER(SEARCH("Not valid",G34)))</formula>
    </cfRule>
    <cfRule type="expression" priority="9" aboveAverage="0" equalAverage="0" bottom="0" percent="0" rank="0" text="" dxfId="1">
      <formula>OR(ISNUMBER(SEARCH("REVIEW",G34)),ISNUMBER(SEARCH("INCOMPLETE",G34)),ISNUMBER(SEARCH("Questionable",G34)),ISNUMBER(SEARCH("Poor",G34)),ISNUMBER(SEARCH("Check",G34)))</formula>
    </cfRule>
    <cfRule type="expression" priority="10" aboveAverage="0" equalAverage="0" bottom="0" percent="0" rank="0" text="" dxfId="2">
      <formula>OR(ISNUMBER(SEARCH("PASS",G34)),ISNUMBER(SEARCH("Meets",G34)),ISNUMBER(SEARCH("Good",G34)),ISNUMBER(SEARCH("Excellent",G34)),ISNUMBER(SEARCH("Acceptable",G34)),ISNUMBER(SEARCH("Within",G34)),ISNUMBER(SEARCH("Valid",G34)),ISNUMBER(SEARCH("OK",G34)))</formula>
    </cfRule>
  </conditionalFormatting>
  <conditionalFormatting sqref="E44:E45">
    <cfRule type="expression" priority="11" aboveAverage="0" equalAverage="0" bottom="0" percent="0" rank="0" text="" dxfId="0">
      <formula>OR(ISNUMBER(SEARCH("BELOW",E44)),ISNUMBER(SEARCH("Dangerous",E44)),ISNUMBER(SEARCH("Outside",E44)),ISNUMBER(SEARCH("FAIL",E44)),ISNUMBER(SEARCH("Not OK",E44)),ISNUMBER(SEARCH("Invalid",E44)),ISNUMBER(SEARCH("Not valid",E44)))</formula>
    </cfRule>
    <cfRule type="expression" priority="12" aboveAverage="0" equalAverage="0" bottom="0" percent="0" rank="0" text="" dxfId="1">
      <formula>OR(ISNUMBER(SEARCH("REVIEW",E44)),ISNUMBER(SEARCH("INCOMPLETE",E44)),ISNUMBER(SEARCH("Questionable",E44)),ISNUMBER(SEARCH("Poor",E44)),ISNUMBER(SEARCH("Check",E44)))</formula>
    </cfRule>
    <cfRule type="expression" priority="13" aboveAverage="0" equalAverage="0" bottom="0" percent="0" rank="0" text="" dxfId="2">
      <formula>OR(ISNUMBER(SEARCH("PASS",E44)),ISNUMBER(SEARCH("Meets",E44)),ISNUMBER(SEARCH("Good",E44)),ISNUMBER(SEARCH("Excellent",E44)),ISNUMBER(SEARCH("Acceptable",E44)),ISNUMBER(SEARCH("Within",E44)),ISNUMBER(SEARCH("Valid",E44)),ISNUMBER(SEARCH("OK",E44)))</formula>
    </cfRule>
  </conditionalFormatting>
  <conditionalFormatting sqref="B62">
    <cfRule type="expression" priority="14" aboveAverage="0" equalAverage="0" bottom="0" percent="0" rank="0" text="" dxfId="0">
      <formula>OR(ISNUMBER(SEARCH("BELOW",B62)),ISNUMBER(SEARCH("Dangerous",B62)),ISNUMBER(SEARCH("Outside",B62)),ISNUMBER(SEARCH("FAIL",B62)),ISNUMBER(SEARCH("Not OK",B62)),ISNUMBER(SEARCH("Invalid",B62)),ISNUMBER(SEARCH("Not valid",B62)))</formula>
    </cfRule>
    <cfRule type="expression" priority="15" aboveAverage="0" equalAverage="0" bottom="0" percent="0" rank="0" text="" dxfId="1">
      <formula>OR(ISNUMBER(SEARCH("REVIEW",B62)),ISNUMBER(SEARCH("INCOMPLETE",B62)),ISNUMBER(SEARCH("Questionable",B62)),ISNUMBER(SEARCH("Poor",B62)),ISNUMBER(SEARCH("Check",B62)))</formula>
    </cfRule>
    <cfRule type="expression" priority="16" aboveAverage="0" equalAverage="0" bottom="0" percent="0" rank="0" text="" dxfId="2">
      <formula>OR(ISNUMBER(SEARCH("PASS",B62)),ISNUMBER(SEARCH("Meets",B62)),ISNUMBER(SEARCH("Good",B62)),ISNUMBER(SEARCH("Excellent",B62)),ISNUMBER(SEARCH("Acceptable",B62)),ISNUMBER(SEARCH("Within",B62)),ISNUMBER(SEARCH("Valid",B62)),ISNUMBER(SEARCH("OK",B62)))</formula>
    </cfRule>
  </conditionalFormatting>
  <dataValidations count="19">
    <dataValidation allowBlank="true" error="Pick a value from the list" errorStyle="stop" errorTitle="Invalid entry" operator="between" showDropDown="false" showErrorMessage="false" showInputMessage="false" sqref="G13" type="list">
      <formula1>"1,5"</formula1>
      <formula2>0</formula2>
    </dataValidation>
    <dataValidation allowBlank="true" error="Pick a value from the list" errorStyle="stop" errorTitle="Invalid entry" operator="between" showDropDown="false" showErrorMessage="false" showInputMessage="false" sqref="B14" type="list">
      <formula1>"Standard inverse,Very inverse,Extremely inverse,Long-time inverse,Definite time"</formula1>
      <formula2>0</formula2>
    </dataValidation>
    <dataValidation allowBlank="true" error="Enter a number" errorStyle="stop" errorTitle="Invalid entry" operator="greaterThanOrEqual" showDropDown="false" showErrorMessage="false" showInputMessage="false" sqref="B13" type="decimal">
      <formula1>0</formula1>
      <formula2>0</formula2>
    </dataValidation>
    <dataValidation allowBlank="true" error="Enter a number" errorStyle="stop" errorTitle="Invalid entry" operator="greaterThanOrEqual" showDropDown="false" showErrorMessage="false" showInputMessage="false" sqref="B15:B17" type="decimal">
      <formula1>0</formula1>
      <formula2>0</formula2>
    </dataValidation>
    <dataValidation allowBlank="true" error="Enter a number" errorStyle="stop" errorTitle="Invalid entry" operator="greaterThanOrEqual" showDropDown="false" showErrorMessage="false" showInputMessage="false" sqref="G15:G16" type="decimal">
      <formula1>0</formula1>
      <formula2>0</formula2>
    </dataValidation>
    <dataValidation allowBlank="true" error="Enter a number" errorStyle="stop" errorTitle="Invalid entry" operator="greaterThanOrEqual" showDropDown="false" showErrorMessage="false" showInputMessage="false" sqref="B22:B24" type="decimal">
      <formula1>0</formula1>
      <formula2>0</formula2>
    </dataValidation>
    <dataValidation allowBlank="true" error="Enter a number" errorStyle="stop" errorTitle="Invalid entry" operator="greaterThanOrEqual" showDropDown="false" showErrorMessage="false" showInputMessage="false" sqref="G22:G24" type="decimal">
      <formula1>0</formula1>
      <formula2>0</formula2>
    </dataValidation>
    <dataValidation allowBlank="true" error="Enter a number" errorStyle="stop" errorTitle="Invalid entry" operator="greaterThanOrEqual" showDropDown="false" showErrorMessage="false" showInputMessage="false" sqref="C29:C30" type="decimal">
      <formula1>0</formula1>
      <formula2>0</formula2>
    </dataValidation>
    <dataValidation allowBlank="true" error="Enter a number" errorStyle="stop" errorTitle="Invalid entry" operator="greaterThanOrEqual" showDropDown="false" showErrorMessage="false" showInputMessage="false" sqref="A34:A39" type="decimal">
      <formula1>0</formula1>
      <formula2>0</formula2>
    </dataValidation>
    <dataValidation allowBlank="true" error="Enter a number" errorStyle="stop" errorTitle="Invalid entry" operator="greaterThanOrEqual" showDropDown="false" showErrorMessage="false" showInputMessage="false" sqref="D34:D39" type="decimal">
      <formula1>0</formula1>
      <formula2>0</formula2>
    </dataValidation>
    <dataValidation allowBlank="true" error="Enter a number" errorStyle="stop" errorTitle="Invalid entry" operator="greaterThanOrEqual" showDropDown="false" showErrorMessage="false" showInputMessage="false" sqref="C44:C45" type="decimal">
      <formula1>0</formula1>
      <formula2>0</formula2>
    </dataValidation>
    <dataValidation allowBlank="true" error="Pick a value from the list" errorStyle="stop" errorTitle="Invalid entry" operator="between" showDropDown="false" showErrorMessage="false" showInputMessage="false" sqref="B49" type="list">
      <formula1>"OK,Not OK,N/A"</formula1>
      <formula2>0</formula2>
    </dataValidation>
    <dataValidation allowBlank="true" error="Pick a value from the list" errorStyle="stop" errorTitle="Invalid entry" operator="between" showDropDown="false" showErrorMessage="false" showInputMessage="false" sqref="B50" type="list">
      <formula1>"OK,Not OK,N/A"</formula1>
      <formula2>0</formula2>
    </dataValidation>
    <dataValidation allowBlank="true" error="Pick a value from the list" errorStyle="stop" errorTitle="Invalid entry" operator="between" showDropDown="false" showErrorMessage="false" showInputMessage="false" sqref="B51" type="list">
      <formula1>"OK,Not OK,N/A"</formula1>
      <formula2>0</formula2>
    </dataValidation>
    <dataValidation allowBlank="true" error="Pick a value from the list" errorStyle="stop" errorTitle="Invalid entry" operator="between" showDropDown="false" showErrorMessage="false" showInputMessage="false" sqref="B52" type="list">
      <formula1>"OK,Not OK,N/A"</formula1>
      <formula2>0</formula2>
    </dataValidation>
    <dataValidation allowBlank="true" error="Pick a value from the list" errorStyle="stop" errorTitle="Invalid entry" operator="between" showDropDown="false" showErrorMessage="false" showInputMessage="false" sqref="B53" type="list">
      <formula1>"OK,Not OK,N/A"</formula1>
      <formula2>0</formula2>
    </dataValidation>
    <dataValidation allowBlank="true" error="Pick a value from the list" errorStyle="stop" errorTitle="Invalid entry" operator="between" showDropDown="false" showErrorMessage="false" showInputMessage="false" sqref="B54" type="list">
      <formula1>"OK,Not OK,N/A"</formula1>
      <formula2>0</formula2>
    </dataValidation>
    <dataValidation allowBlank="true" error="Pick a value from the list" errorStyle="stop" errorTitle="Invalid entry" operator="between" showDropDown="false" showErrorMessage="false" showInputMessage="false" sqref="B55" type="list">
      <formula1>"OK,Not OK,N/A"</formula1>
      <formula2>0</formula2>
    </dataValidation>
    <dataValidation allowBlank="true" error="Pick a value from the list" errorStyle="stop" errorTitle="Invalid entry" operator="between" showDropDown="false" showErrorMessage="false" showInputMessage="false" sqref="B56" type="list">
      <formula1>"OK,Not OK,N/A"</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Cambridge Instruments Engg. Co. (CIE), Howrah  |  cieinstruments.in&amp;R&amp;8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3" min="2" style="0" width="12"/>
    <col collapsed="false" customWidth="true" hidden="false" outlineLevel="0" max="4" min="4" style="0" width="84"/>
  </cols>
  <sheetData>
    <row r="1" customFormat="false" ht="30" hidden="false" customHeight="true" outlineLevel="0" collapsed="false">
      <c r="A1" s="1" t="s">
        <v>94</v>
      </c>
      <c r="B1" s="1"/>
      <c r="C1" s="1"/>
      <c r="D1" s="1"/>
    </row>
    <row r="2" customFormat="false" ht="25.5" hidden="false" customHeight="true" outlineLevel="0" collapsed="false">
      <c r="A2" s="2" t="s">
        <v>95</v>
      </c>
      <c r="B2" s="2"/>
      <c r="C2" s="2"/>
      <c r="D2" s="2"/>
    </row>
    <row r="3" customFormat="false" ht="15" hidden="false" customHeight="false" outlineLevel="0" collapsed="false">
      <c r="A3" s="3" t="s">
        <v>2</v>
      </c>
      <c r="B3" s="3"/>
      <c r="C3" s="3"/>
      <c r="D3" s="3"/>
    </row>
    <row r="5" customFormat="false" ht="18" hidden="false" customHeight="true" outlineLevel="0" collapsed="false">
      <c r="A5" s="4" t="s">
        <v>96</v>
      </c>
      <c r="B5" s="4"/>
      <c r="C5" s="4"/>
      <c r="D5" s="4"/>
    </row>
    <row r="6" customFormat="false" ht="15" hidden="false" customHeight="false" outlineLevel="0" collapsed="false">
      <c r="A6" s="16" t="s">
        <v>97</v>
      </c>
      <c r="B6" s="16" t="s">
        <v>98</v>
      </c>
      <c r="C6" s="16" t="s">
        <v>99</v>
      </c>
      <c r="D6" s="16" t="s">
        <v>100</v>
      </c>
    </row>
    <row r="7" customFormat="false" ht="15" hidden="false" customHeight="false" outlineLevel="0" collapsed="false">
      <c r="A7" s="26" t="s">
        <v>89</v>
      </c>
      <c r="B7" s="27" t="n">
        <v>0.14</v>
      </c>
      <c r="C7" s="27" t="n">
        <v>0.02</v>
      </c>
      <c r="D7" s="28" t="s">
        <v>101</v>
      </c>
    </row>
    <row r="8" customFormat="false" ht="15" hidden="false" customHeight="false" outlineLevel="0" collapsed="false">
      <c r="A8" s="26" t="s">
        <v>102</v>
      </c>
      <c r="B8" s="27" t="n">
        <v>13.5</v>
      </c>
      <c r="C8" s="27" t="n">
        <v>1</v>
      </c>
      <c r="D8" s="28" t="s">
        <v>103</v>
      </c>
    </row>
    <row r="9" customFormat="false" ht="15" hidden="false" customHeight="false" outlineLevel="0" collapsed="false">
      <c r="A9" s="26" t="s">
        <v>104</v>
      </c>
      <c r="B9" s="27" t="n">
        <v>80</v>
      </c>
      <c r="C9" s="27" t="n">
        <v>2</v>
      </c>
      <c r="D9" s="28" t="s">
        <v>105</v>
      </c>
    </row>
    <row r="10" customFormat="false" ht="15" hidden="false" customHeight="false" outlineLevel="0" collapsed="false">
      <c r="A10" s="26" t="s">
        <v>106</v>
      </c>
      <c r="B10" s="27" t="n">
        <v>120</v>
      </c>
      <c r="C10" s="27" t="n">
        <v>1</v>
      </c>
      <c r="D10" s="28" t="s">
        <v>107</v>
      </c>
    </row>
    <row r="11" customFormat="false" ht="15" hidden="false" customHeight="false" outlineLevel="0" collapsed="false">
      <c r="A11" s="26" t="s">
        <v>108</v>
      </c>
      <c r="B11" s="27" t="n">
        <v>0</v>
      </c>
      <c r="C11" s="27" t="n">
        <v>0</v>
      </c>
      <c r="D11" s="28" t="s">
        <v>109</v>
      </c>
    </row>
    <row r="13" customFormat="false" ht="18" hidden="false" customHeight="true" outlineLevel="0" collapsed="false">
      <c r="A13" s="4" t="s">
        <v>110</v>
      </c>
      <c r="B13" s="4"/>
      <c r="C13" s="4"/>
      <c r="D13" s="4"/>
    </row>
    <row r="14" customFormat="false" ht="45.75" hidden="false" customHeight="true" outlineLevel="0" collapsed="false">
      <c r="A14" s="29" t="s">
        <v>111</v>
      </c>
      <c r="B14" s="29"/>
      <c r="C14" s="29"/>
      <c r="D14" s="29"/>
    </row>
    <row r="15" customFormat="false" ht="45.75" hidden="false" customHeight="true" outlineLevel="0" collapsed="false">
      <c r="A15" s="29" t="s">
        <v>112</v>
      </c>
      <c r="B15" s="29"/>
      <c r="C15" s="29"/>
      <c r="D15" s="29"/>
    </row>
    <row r="16" customFormat="false" ht="45.75" hidden="false" customHeight="true" outlineLevel="0" collapsed="false">
      <c r="A16" s="29" t="s">
        <v>113</v>
      </c>
      <c r="B16" s="29"/>
      <c r="C16" s="29"/>
      <c r="D16" s="29"/>
    </row>
    <row r="17" customFormat="false" ht="45.75" hidden="false" customHeight="true" outlineLevel="0" collapsed="false">
      <c r="A17" s="29" t="s">
        <v>114</v>
      </c>
      <c r="B17" s="29"/>
      <c r="C17" s="29"/>
      <c r="D17" s="29"/>
    </row>
    <row r="18" customFormat="false" ht="45.75" hidden="false" customHeight="true" outlineLevel="0" collapsed="false">
      <c r="A18" s="29" t="s">
        <v>115</v>
      </c>
      <c r="B18" s="29"/>
      <c r="C18" s="29"/>
      <c r="D18" s="29"/>
    </row>
  </sheetData>
  <sheetProtection sheet="true" formatColumns="false" formatRows="false"/>
  <mergeCells count="10">
    <mergeCell ref="A1:D1"/>
    <mergeCell ref="A2:D2"/>
    <mergeCell ref="A3:D3"/>
    <mergeCell ref="A5:D5"/>
    <mergeCell ref="A13:D13"/>
    <mergeCell ref="A14:D14"/>
    <mergeCell ref="A15:D15"/>
    <mergeCell ref="A16:D16"/>
    <mergeCell ref="A17:D17"/>
    <mergeCell ref="A18:D18"/>
  </mergeCells>
  <printOptions headings="false" gridLines="false" gridLinesSet="true" horizontalCentered="fals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Cambridge Instruments Engg. Co. (CIE), Howrah  |  cieinstruments.in&amp;R&amp;8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2026-10-18T09:06:13Z</dcterms:created>
  <dc:creator>openpyxl</dc:creator>
  <dc:description/>
  <dc:language>en-US</dc:language>
  <cp:lastModifiedBy/>
  <dcterms:modified xsi:type="dcterms:W3CDTF">2026-10-18T14:36:28Z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